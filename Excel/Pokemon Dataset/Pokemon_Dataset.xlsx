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tol\Desktop\Job stuff\Data Technician Course\Week 1 (Excel)\"/>
    </mc:Choice>
  </mc:AlternateContent>
  <xr:revisionPtr revIDLastSave="0" documentId="13_ncr:1_{F6614A7E-2E10-4D17-A212-84F530CDB5CB}" xr6:coauthVersionLast="47" xr6:coauthVersionMax="47" xr10:uidLastSave="{00000000-0000-0000-0000-000000000000}"/>
  <bookViews>
    <workbookView xWindow="-28920" yWindow="-120" windowWidth="29040" windowHeight="15720" xr2:uid="{61EA0209-3446-4C7C-9C63-82EAEA4B51B8}"/>
  </bookViews>
  <sheets>
    <sheet name="Pokemon" sheetId="2" r:id="rId1"/>
    <sheet name="Filtered Stats (All)" sheetId="1" r:id="rId2"/>
    <sheet name="Filtered Stats (Mega)" sheetId="4" r:id="rId3"/>
    <sheet name="Individual" sheetId="3" r:id="rId4"/>
  </sheets>
  <definedNames>
    <definedName name="_xlnm._FilterDatabase" localSheetId="1" hidden="1">'Filtered Stats (All)'!$J$2:$J$2</definedName>
    <definedName name="ExternalData_1" localSheetId="0" hidden="1">Pokemon!$A$1:$M$801</definedName>
  </definedNames>
  <calcPr calcId="191029"/>
  <pivotCaches>
    <pivotCache cacheId="81" r:id="rId5"/>
    <pivotCache cacheId="9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3" l="1" a="1"/>
  <c r="C33" i="3" s="1"/>
  <c r="C34" i="3"/>
  <c r="C32" i="3" a="1"/>
  <c r="C32" i="3" s="1"/>
  <c r="E4" i="3"/>
  <c r="E3" i="3" a="1"/>
  <c r="E3" i="3" s="1"/>
  <c r="E2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44AF3-9D46-427D-8F75-6F8CA8AC6FDB}" keepAlive="1" name="Query - Pokemon" description="Connection to the 'Pokemon' query in the workbook." type="5" refreshedVersion="8" background="1" saveData="1">
    <dbPr connection="Provider=Microsoft.Mashup.OleDb.1;Data Source=$Workbook$;Location=Pokemon;Extended Properties=&quot;&quot;" command="SELECT * FROM [Pokem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<sst xmlns="http://schemas.openxmlformats.org/spreadsheetml/2006/main" count="3275" uniqueCount="852">
  <si>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</si>
  <si>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</si>
  <si>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</si>
  <si>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</si>
  <si>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</si>
  <si>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</si>
  <si>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</si>
  <si>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</si>
  <si>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</si>
  <si>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</si>
  <si>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</si>
  <si>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</si>
  <si>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</si>
  <si>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</si>
  <si>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</si>
  <si>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</si>
  <si>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</si>
  <si>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</si>
  <si>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</si>
  <si>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</si>
  <si>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</si>
  <si>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N/A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</si>
  <si>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</si>
  <si>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</si>
  <si>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</si>
  <si>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</si>
  <si>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</si>
  <si>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</si>
  <si>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</si>
  <si>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</si>
  <si>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</si>
  <si>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</si>
  <si>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</si>
  <si>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</si>
  <si>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</si>
  <si>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</si>
  <si>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</si>
  <si>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</si>
  <si>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</si>
  <si>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</si>
  <si>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</si>
  <si>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</si>
  <si>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</si>
  <si>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</si>
  <si>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PidgeotMega Pidgeot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</si>
  <si>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</si>
  <si>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</si>
  <si>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</si>
  <si>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</si>
  <si>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</si>
  <si>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</si>
  <si>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</si>
  <si>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</si>
  <si>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</si>
  <si>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</si>
  <si>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</si>
  <si>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</si>
  <si>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</si>
  <si>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</si>
  <si>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</si>
  <si>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</si>
  <si>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</si>
  <si>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</si>
  <si>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</si>
  <si>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</si>
  <si>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</si>
  <si>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</si>
  <si>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</si>
  <si>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</si>
  <si>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</si>
  <si>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</si>
  <si>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</si>
  <si>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</si>
  <si>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</si>
  <si>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</si>
  <si>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</si>
  <si>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</si>
  <si>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</si>
  <si>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</si>
  <si>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</si>
  <si>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</si>
  <si>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</si>
  <si>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</si>
  <si>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</si>
  <si>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</si>
  <si>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</si>
  <si>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</si>
  <si>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</si>
  <si>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</si>
  <si>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</si>
  <si>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</si>
  <si>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</si>
  <si>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</si>
  <si>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</si>
  <si>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</si>
  <si>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</si>
  <si>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</si>
  <si>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</si>
  <si>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</si>
  <si>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</si>
  <si>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</si>
  <si>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</si>
  <si>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</si>
  <si>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</si>
  <si>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</si>
  <si>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</si>
  <si>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</si>
  <si>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</si>
  <si>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</si>
  <si>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</si>
  <si>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</si>
  <si>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</si>
  <si>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</si>
  <si>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</si>
  <si>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</si>
  <si>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</si>
  <si>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</si>
  <si>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</si>
  <si>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</si>
  <si>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</si>
  <si>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</si>
  <si>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</si>
  <si>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</si>
  <si>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</si>
  <si>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</si>
  <si>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</si>
  <si>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</si>
  <si>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</si>
  <si>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</si>
  <si>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</si>
  <si>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</si>
  <si>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</si>
  <si>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GengarMega Gengar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</si>
  <si>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</si>
  <si>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</si>
  <si>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</si>
  <si>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</si>
  <si>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</si>
  <si>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</si>
  <si>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</si>
  <si>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</si>
  <si>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</si>
  <si>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</si>
  <si>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</si>
  <si>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</si>
  <si>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</si>
  <si>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</si>
  <si>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</si>
  <si>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</si>
  <si>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</si>
  <si>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</si>
  <si>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</si>
  <si>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</si>
  <si>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</si>
  <si>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</si>
  <si>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</si>
  <si>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</si>
  <si>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</si>
  <si>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</si>
  <si>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</si>
  <si>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</si>
  <si>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</si>
  <si>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</si>
  <si>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</si>
  <si>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</si>
  <si>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</si>
  <si>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</si>
  <si>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PinsirMega Pinsir</t>
  </si>
  <si>
    <t>Pinsir</t>
  </si>
  <si>
    <t>Tauros</t>
  </si>
  <si>
    <t>Magikarp</t>
  </si>
  <si>
    <t>GyaradosMega Gyarados</t>
  </si>
  <si>
    <t>Dark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</si>
  <si>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</si>
  <si>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</si>
  <si>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</si>
  <si>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</si>
  <si>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</si>
  <si>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</si>
  <si>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</si>
  <si>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</si>
  <si>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</si>
  <si>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</si>
  <si>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</si>
  <si>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</si>
  <si>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AerodactylMega Aerodactyl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</si>
  <si>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</si>
  <si>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</si>
  <si>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</si>
  <si>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</si>
  <si>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</si>
  <si>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</si>
  <si>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</si>
  <si>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</si>
  <si>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MewtwoMega Mewtwo X</t>
  </si>
  <si>
    <t>MewtwoMega Mewtwo Y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</si>
  <si>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</si>
  <si>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</si>
  <si>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</si>
  <si>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</si>
  <si>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</si>
  <si>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</si>
  <si>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</si>
  <si>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</si>
  <si>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</si>
  <si>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</si>
  <si>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</si>
  <si>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</si>
  <si>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</si>
  <si>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</si>
  <si>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</si>
  <si>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</si>
  <si>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</si>
  <si>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</si>
  <si>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</si>
  <si>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</si>
  <si>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</si>
  <si>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</si>
  <si>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</si>
  <si>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</si>
  <si>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</si>
  <si>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</si>
  <si>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</si>
  <si>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</si>
  <si>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</si>
  <si>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</si>
  <si>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</si>
  <si>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AmpharosMega Ampharos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</si>
  <si>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</si>
  <si>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</si>
  <si>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</si>
  <si>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</si>
  <si>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</si>
  <si>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</si>
  <si>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</si>
  <si>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</si>
  <si>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</si>
  <si>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</si>
  <si>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</si>
  <si>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</si>
  <si>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</si>
  <si>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</si>
  <si>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</si>
  <si>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</si>
  <si>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</si>
  <si>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</si>
  <si>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</si>
  <si>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</si>
  <si>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</si>
  <si>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</si>
  <si>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</si>
  <si>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</si>
  <si>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</si>
  <si>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</si>
  <si>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</si>
  <si>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SteelixMega Steelix</t>
  </si>
  <si>
    <t>Steelix</t>
  </si>
  <si>
    <t>Snubbull</t>
  </si>
  <si>
    <t>Granbull</t>
  </si>
  <si>
    <t>Qwilfish</t>
  </si>
  <si>
    <t>ScizorMega Scizor</t>
  </si>
  <si>
    <t>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</si>
  <si>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</si>
  <si>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</si>
  <si>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</si>
  <si>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</si>
  <si>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</si>
  <si>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</si>
  <si>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</si>
  <si>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</si>
  <si>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</si>
  <si>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</si>
  <si>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</si>
  <si>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</si>
  <si>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</si>
  <si>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</si>
  <si>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</si>
  <si>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</si>
  <si>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</si>
  <si>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</si>
  <si>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</si>
  <si>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</si>
  <si>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</si>
  <si>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</si>
  <si>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</si>
  <si>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</si>
  <si>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</si>
  <si>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</si>
  <si>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</si>
  <si>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</si>
  <si>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</si>
  <si>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</si>
  <si>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</si>
  <si>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</si>
  <si>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</si>
  <si>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</si>
  <si>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</si>
  <si>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</si>
  <si>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</si>
  <si>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TyranitarMega Tyranitar</t>
  </si>
  <si>
    <t>Tyranitar</t>
  </si>
  <si>
    <t>Lugia</t>
  </si>
  <si>
    <t>Ho-oh</t>
  </si>
  <si>
    <t>Celebi</t>
  </si>
  <si>
    <t>Treecko</t>
  </si>
  <si>
    <t>Grovyle</t>
  </si>
  <si>
    <t>SceptileMega Sceptile</t>
  </si>
  <si>
    <t>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</si>
  <si>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</si>
  <si>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</si>
  <si>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</si>
  <si>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</si>
  <si>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</si>
  <si>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</si>
  <si>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</si>
  <si>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</si>
  <si>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</si>
  <si>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</si>
  <si>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</si>
  <si>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</si>
  <si>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</si>
  <si>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</si>
  <si>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</si>
  <si>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</si>
  <si>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</si>
  <si>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</si>
  <si>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</si>
  <si>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</si>
  <si>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</si>
  <si>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</si>
  <si>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</si>
  <si>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</si>
  <si>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</si>
  <si>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</si>
  <si>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</si>
  <si>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</si>
  <si>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</si>
  <si>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</si>
  <si>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</si>
  <si>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</si>
  <si>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</si>
  <si>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</si>
  <si>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</si>
  <si>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</si>
  <si>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</si>
  <si>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</si>
  <si>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</si>
  <si>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</si>
  <si>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</si>
  <si>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</si>
  <si>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</si>
  <si>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</si>
  <si>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</si>
  <si>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</si>
  <si>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</si>
  <si>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</si>
  <si>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</si>
  <si>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</si>
  <si>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</si>
  <si>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</si>
  <si>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MawileMega Mawile</t>
  </si>
  <si>
    <t>Mawile</t>
  </si>
  <si>
    <t>Aron</t>
  </si>
  <si>
    <t>Lairon</t>
  </si>
  <si>
    <t>AggronMega Aggron</t>
  </si>
  <si>
    <t>Aggron</t>
  </si>
  <si>
    <t>Meditite</t>
  </si>
  <si>
    <t>Medicham</t>
  </si>
  <si>
    <t>MedichamMega Medicham</t>
  </si>
  <si>
    <t>Electrike</t>
  </si>
  <si>
    <t>ManectricMega Manectric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</si>
  <si>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</si>
  <si>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</si>
  <si>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</si>
  <si>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</si>
  <si>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</si>
  <si>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</si>
  <si>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</si>
  <si>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</si>
  <si>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</si>
  <si>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SharpedoMega Sharpedo</t>
  </si>
  <si>
    <t>Sharpedo</t>
  </si>
  <si>
    <t>Wailmer</t>
  </si>
  <si>
    <t>Wailord</t>
  </si>
  <si>
    <t>Numel</t>
  </si>
  <si>
    <t>CameruptMega Camerupt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</si>
  <si>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</si>
  <si>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</si>
  <si>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</si>
  <si>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</si>
  <si>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</si>
  <si>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</si>
  <si>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</si>
  <si>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</si>
  <si>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</si>
  <si>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</si>
  <si>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</si>
  <si>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AltariaMega Altaria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</si>
  <si>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</si>
  <si>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</si>
  <si>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</si>
  <si>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</si>
  <si>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</si>
  <si>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</si>
  <si>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</si>
  <si>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</si>
  <si>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</si>
  <si>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</si>
  <si>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</si>
  <si>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</si>
  <si>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</si>
  <si>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</si>
  <si>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</si>
  <si>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</si>
  <si>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</si>
  <si>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</si>
  <si>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</si>
  <si>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</si>
  <si>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</si>
  <si>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</si>
  <si>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</si>
  <si>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</si>
  <si>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</si>
  <si>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</si>
  <si>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AbsolMega Absol</t>
  </si>
  <si>
    <t>Absol</t>
  </si>
  <si>
    <t>Wynaut</t>
  </si>
  <si>
    <t>Snorunt</t>
  </si>
  <si>
    <t>GlalieMega Glalie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</si>
  <si>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</si>
  <si>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</si>
  <si>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</si>
  <si>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</si>
  <si>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</si>
  <si>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</si>
  <si>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</si>
  <si>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</si>
  <si>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</si>
  <si>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</si>
  <si>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</si>
  <si>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</si>
  <si>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</si>
  <si>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</si>
  <si>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</si>
  <si>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MetagrossMega Metagross</t>
  </si>
  <si>
    <t>Metagross</t>
  </si>
  <si>
    <t>Regirock</t>
  </si>
  <si>
    <t>Regice</t>
  </si>
  <si>
    <t>Registeel</t>
  </si>
  <si>
    <t>Latias</t>
  </si>
  <si>
    <t>LatiasMega Latias</t>
  </si>
  <si>
    <t>LatiosMega Latios</t>
  </si>
  <si>
    <t>Latios</t>
  </si>
  <si>
    <t>KyogrePrimal Kyogre</t>
  </si>
  <si>
    <t>Kyogre</t>
  </si>
  <si>
    <t>GroudonPrimal Groudon</t>
  </si>
  <si>
    <t>Groudon</t>
  </si>
  <si>
    <t>RayquazaMega Rayquaza</t>
  </si>
  <si>
    <t>Rayquaza</t>
  </si>
  <si>
    <t>Jirachi</t>
  </si>
  <si>
    <t>DeoxysAttack Forme</t>
  </si>
  <si>
    <t>DeoxysSpeed Forme</t>
  </si>
  <si>
    <t>DeoxysDefense Forme</t>
  </si>
  <si>
    <t>DeoxysNormal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</si>
  <si>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</si>
  <si>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</si>
  <si>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</si>
  <si>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</si>
  <si>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</si>
  <si>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</si>
  <si>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</si>
  <si>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</si>
  <si>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</si>
  <si>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</si>
  <si>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</si>
  <si>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</si>
  <si>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</si>
  <si>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</si>
  <si>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</si>
  <si>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</si>
  <si>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</si>
  <si>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</si>
  <si>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</si>
  <si>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</si>
  <si>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</si>
  <si>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</si>
  <si>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</si>
  <si>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</si>
  <si>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</si>
  <si>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</si>
  <si>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WormadamTrash Cloak</t>
  </si>
  <si>
    <t>WormadamPlant Cloak</t>
  </si>
  <si>
    <t>WormadamSandy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</si>
  <si>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</si>
  <si>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</si>
  <si>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</si>
  <si>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</si>
  <si>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</si>
  <si>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</si>
  <si>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</si>
  <si>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</si>
  <si>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</si>
  <si>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</si>
  <si>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</si>
  <si>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</si>
  <si>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</si>
  <si>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</si>
  <si>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</si>
  <si>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</si>
  <si>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</si>
  <si>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</si>
  <si>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</si>
  <si>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</si>
  <si>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</si>
  <si>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</si>
  <si>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</si>
  <si>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</si>
  <si>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</si>
  <si>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</si>
  <si>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</si>
  <si>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</si>
  <si>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</si>
  <si>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</si>
  <si>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</si>
  <si>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</si>
  <si>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</si>
  <si>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</si>
  <si>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</si>
  <si>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</si>
  <si>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LucarioMega Lucario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</si>
  <si>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</si>
  <si>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</si>
  <si>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</si>
  <si>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</si>
  <si>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</si>
  <si>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</si>
  <si>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</si>
  <si>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</si>
  <si>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</si>
  <si>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</si>
  <si>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</si>
  <si>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</si>
  <si>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AbomasnowMega Abomasnow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</si>
  <si>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</si>
  <si>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</si>
  <si>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</si>
  <si>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</si>
  <si>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</si>
  <si>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</si>
  <si>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</si>
  <si>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</si>
  <si>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</si>
  <si>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</si>
  <si>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</si>
  <si>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</si>
  <si>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</si>
  <si>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</si>
  <si>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</si>
  <si>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</si>
  <si>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</si>
  <si>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</si>
  <si>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</si>
  <si>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</si>
  <si>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</si>
  <si>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RotomFrost Rotom</t>
  </si>
  <si>
    <t>RotomHeat Rotom</t>
  </si>
  <si>
    <t>RotomMow Rotom</t>
  </si>
  <si>
    <t>RotomFan Rotom</t>
  </si>
  <si>
    <t>RotomWash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</si>
  <si>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</si>
  <si>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</si>
  <si>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</si>
  <si>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</si>
  <si>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</si>
  <si>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</si>
  <si>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</si>
  <si>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</si>
  <si>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</si>
  <si>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</si>
  <si>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</si>
  <si>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</si>
  <si>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</si>
  <si>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</si>
  <si>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</si>
  <si>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</si>
  <si>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</si>
  <si>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</si>
  <si>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</si>
  <si>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</si>
  <si>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</si>
  <si>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</si>
  <si>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</si>
  <si>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</si>
  <si>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</si>
  <si>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</si>
  <si>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</si>
  <si>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</si>
  <si>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</si>
  <si>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</si>
  <si>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</si>
  <si>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</si>
  <si>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</si>
  <si>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</si>
  <si>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</si>
  <si>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</si>
  <si>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</si>
  <si>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</si>
  <si>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</si>
  <si>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</si>
  <si>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</si>
  <si>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</si>
  <si>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</si>
  <si>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</si>
  <si>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</si>
  <si>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</si>
  <si>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</si>
  <si>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</si>
  <si>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</si>
  <si>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</si>
  <si>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</si>
  <si>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</si>
  <si>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</si>
  <si>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</si>
  <si>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</si>
  <si>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</si>
  <si>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</si>
  <si>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</si>
  <si>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</si>
  <si>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</si>
  <si>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</si>
  <si>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</si>
  <si>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</si>
  <si>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</si>
  <si>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</si>
  <si>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</si>
  <si>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</si>
  <si>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</si>
  <si>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</si>
  <si>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</si>
  <si>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</si>
  <si>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</si>
  <si>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</si>
  <si>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</si>
  <si>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</si>
  <si>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</si>
  <si>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</si>
  <si>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</si>
  <si>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</si>
  <si>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</si>
  <si>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</si>
  <si>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</si>
  <si>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</si>
  <si>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</si>
  <si>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</si>
  <si>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</si>
  <si>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</si>
  <si>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</si>
  <si>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</si>
  <si>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</si>
  <si>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</si>
  <si>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</si>
  <si>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</si>
  <si>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</si>
  <si>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</si>
  <si>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</si>
  <si>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</si>
  <si>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</si>
  <si>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</si>
  <si>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</si>
  <si>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</si>
  <si>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</si>
  <si>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</si>
  <si>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</si>
  <si>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</si>
  <si>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</si>
  <si>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</si>
  <si>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</si>
  <si>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</si>
  <si>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</si>
  <si>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</si>
  <si>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</si>
  <si>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</si>
  <si>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</si>
  <si>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</si>
  <si>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</si>
  <si>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</si>
  <si>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</si>
  <si>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</si>
  <si>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</si>
  <si>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</si>
  <si>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</si>
  <si>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</si>
  <si>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</si>
  <si>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</si>
  <si>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</si>
  <si>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</si>
  <si>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</si>
  <si>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</si>
  <si>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</si>
  <si>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</si>
  <si>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</si>
  <si>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</si>
  <si>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</si>
  <si>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</si>
  <si>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</si>
  <si>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</si>
  <si>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</si>
  <si>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</si>
  <si>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</si>
  <si>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</si>
  <si>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</si>
  <si>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</si>
  <si>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</si>
  <si>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</si>
  <si>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</si>
  <si>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</si>
  <si>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</si>
  <si>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</si>
  <si>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</si>
  <si>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</si>
  <si>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</si>
  <si>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</si>
  <si>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</si>
  <si>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</si>
  <si>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</si>
  <si>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</si>
  <si>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</si>
  <si>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</si>
  <si>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</si>
  <si>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</si>
  <si>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</si>
  <si>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</si>
  <si>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</si>
  <si>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</si>
  <si>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TornadusTherian Forme</t>
  </si>
  <si>
    <t>TornadusIncarnate Forme</t>
  </si>
  <si>
    <t>ThundurusIncarnate Forme</t>
  </si>
  <si>
    <t>ThundurusTherian Forme</t>
  </si>
  <si>
    <t>Reshiram</t>
  </si>
  <si>
    <t>Zekrom</t>
  </si>
  <si>
    <t>LandorusTherian Forme</t>
  </si>
  <si>
    <t>LandorusIncarnate Forme</t>
  </si>
  <si>
    <t>KyuremWhite Kyurem</t>
  </si>
  <si>
    <t>Kyurem</t>
  </si>
  <si>
    <t>KyuremBlack Kyurem</t>
  </si>
  <si>
    <t>KeldeoResolute Forme</t>
  </si>
  <si>
    <t>KeldeoOrdinary Forme</t>
  </si>
  <si>
    <t>MeloettaPirouette Forme</t>
  </si>
  <si>
    <t>MeloettaAria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</si>
  <si>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</si>
  <si>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</si>
  <si>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</si>
  <si>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</si>
  <si>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</si>
  <si>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</si>
  <si>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</si>
  <si>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</si>
  <si>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</si>
  <si>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</si>
  <si>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</si>
  <si>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</si>
  <si>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</si>
  <si>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</si>
  <si>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</si>
  <si>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</si>
  <si>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</si>
  <si>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</si>
  <si>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</si>
  <si>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</si>
  <si>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</si>
  <si>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</si>
  <si>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</si>
  <si>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</si>
  <si>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</si>
  <si>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</si>
  <si>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</si>
  <si>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</si>
  <si>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</si>
  <si>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</si>
  <si>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</si>
  <si>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</si>
  <si>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</si>
  <si>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AegislashShield Forme</t>
  </si>
  <si>
    <t>AegislashBlade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</si>
  <si>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</si>
  <si>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</si>
  <si>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</si>
  <si>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</si>
  <si>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</si>
  <si>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</si>
  <si>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</si>
  <si>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</si>
  <si>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</si>
  <si>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</si>
  <si>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</si>
  <si>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</si>
  <si>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</si>
  <si>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</si>
  <si>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</si>
  <si>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</si>
  <si>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</si>
  <si>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</si>
  <si>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</si>
  <si>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</si>
  <si>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</si>
  <si>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</si>
  <si>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</si>
  <si>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</si>
  <si>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</si>
  <si>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</si>
  <si>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</si>
  <si>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</si>
  <si>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</si>
  <si>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PumpkabooLarge Size</t>
  </si>
  <si>
    <t>PumpkabooSuper Size</t>
  </si>
  <si>
    <t>PumpkabooSmall Size</t>
  </si>
  <si>
    <t>GourgeistSmall Size</t>
  </si>
  <si>
    <t>GourgeistSuper Size</t>
  </si>
  <si>
    <t>GourgeistAverage Size</t>
  </si>
  <si>
    <t>GourgeistLarge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</si>
  <si>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</si>
  <si>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</si>
  <si>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</si>
  <si>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</si>
  <si>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</si>
  <si>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</si>
  <si>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</si>
  <si>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DiancieMega Diancie</t>
  </si>
  <si>
    <t>Diancie</t>
  </si>
  <si>
    <t>HoopaHoopa Confined</t>
  </si>
  <si>
    <t>HoopaHoopa Unbound</t>
  </si>
  <si>
    <t>Volcanion</t>
  </si>
  <si>
    <t>Mega</t>
  </si>
  <si>
    <t>Grand Total</t>
  </si>
  <si>
    <t>FALSE</t>
  </si>
  <si>
    <t>TRUE</t>
  </si>
  <si>
    <t>(All)</t>
  </si>
  <si>
    <t>Sum of Generation</t>
  </si>
  <si>
    <t>Sum of Total</t>
  </si>
  <si>
    <t>Sum of HP</t>
  </si>
  <si>
    <t>Sum of Attack</t>
  </si>
  <si>
    <t>Sum of Defense</t>
  </si>
  <si>
    <t>Sum of Sp. Atk</t>
  </si>
  <si>
    <t>Sum of Sp. Def</t>
  </si>
  <si>
    <t>Sum of Speed</t>
  </si>
  <si>
    <t>Name:</t>
  </si>
  <si>
    <t>Type(s):</t>
  </si>
  <si>
    <t>Generation:</t>
  </si>
  <si>
    <t>Sum of #</t>
  </si>
  <si>
    <t>Values</t>
  </si>
  <si>
    <t>Number (#)</t>
  </si>
  <si>
    <t>Stat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</si>
</sst>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Border="1"/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[Pokemon_Dataset.xlsx]Individual!PivotTable3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Stat Distribution</a:t>
            </a:r>
          </a:p>
        </c:rich>
      </c:tx>
      <c:layout>
        <c:manualLayout>
          <c:xMode val="edge"/>
          <c:yMode val="edge"/>
          <c:x val="0.5858666557395491"/>
          <c:y val="5.5911198294410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Individual!$C$4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Individual!$B$5:$B$10</c:f>
              <c:strCache>
                <c:ptCount val="6"/>
                <c:pt idx="0">
                  <c:v>Sum of HP</c:v>
                </c:pt>
                <c:pt idx="1">
                  <c:v>Sum of Attack</c:v>
                </c:pt>
                <c:pt idx="2">
                  <c:v>Sum of Defense</c:v>
                </c:pt>
                <c:pt idx="3">
                  <c:v>Sum of Sp. Atk</c:v>
                </c:pt>
                <c:pt idx="4">
                  <c:v>Sum of Speed</c:v>
                </c:pt>
                <c:pt idx="5">
                  <c:v>Sum of Sp. Def</c:v>
                </c:pt>
              </c:strCache>
            </c:strRef>
          </c:cat>
          <c:val>
            <c:numRef>
              <c:f>Individual!$C$5:$C$10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95</c:v>
                </c:pt>
                <c:pt idx="3">
                  <c:v>120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3B-40FA-8205-6AD3082019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[Pokemon_Dataset.xlsx]Individual!PivotTable7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Stat Distribution (Mega)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Individual!$C$23:$C$24</c:f>
              <c:strCache>
                <c:ptCount val="1"/>
                <c:pt idx="0">
                  <c:v>CharizardMega Charizard 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Individual!$B$25:$B$30</c:f>
              <c:strCache>
                <c:ptCount val="6"/>
                <c:pt idx="0">
                  <c:v>HP</c:v>
                </c:pt>
                <c:pt idx="1">
                  <c:v>Sp. Def</c:v>
                </c:pt>
                <c:pt idx="2">
                  <c:v>Speed</c:v>
                </c:pt>
                <c:pt idx="3">
                  <c:v>Defense</c:v>
                </c:pt>
                <c:pt idx="4">
                  <c:v>Attack</c:v>
                </c:pt>
                <c:pt idx="5">
                  <c:v>Sp. Atk</c:v>
                </c:pt>
              </c:strCache>
            </c:strRef>
          </c:cat>
          <c:val>
            <c:numRef>
              <c:f>Individual!$C$25:$C$30</c:f>
              <c:numCache>
                <c:formatCode>General</c:formatCode>
                <c:ptCount val="6"/>
                <c:pt idx="0">
                  <c:v>78</c:v>
                </c:pt>
                <c:pt idx="1">
                  <c:v>85</c:v>
                </c:pt>
                <c:pt idx="2">
                  <c:v>100</c:v>
                </c:pt>
                <c:pt idx="3">
                  <c:v>111</c:v>
                </c:pt>
                <c:pt idx="4">
                  <c:v>130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7C-41B5-A947-6FAC6133FFE9}"/>
            </c:ext>
          </c:extLst>
        </c:ser>
        <c:ser>
          <c:idx val="1"/>
          <c:order val="1"/>
          <c:tx>
            <c:strRef>
              <c:f>Individual!$D$23:$D$24</c:f>
              <c:strCache>
                <c:ptCount val="1"/>
                <c:pt idx="0">
                  <c:v>CharizardMega Charizard 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Individual!$B$25:$B$30</c:f>
              <c:strCache>
                <c:ptCount val="6"/>
                <c:pt idx="0">
                  <c:v>HP</c:v>
                </c:pt>
                <c:pt idx="1">
                  <c:v>Sp. Def</c:v>
                </c:pt>
                <c:pt idx="2">
                  <c:v>Speed</c:v>
                </c:pt>
                <c:pt idx="3">
                  <c:v>Defense</c:v>
                </c:pt>
                <c:pt idx="4">
                  <c:v>Attack</c:v>
                </c:pt>
                <c:pt idx="5">
                  <c:v>Sp. Atk</c:v>
                </c:pt>
              </c:strCache>
            </c:strRef>
          </c:cat>
          <c:val>
            <c:numRef>
              <c:f>Individual!$D$25:$D$30</c:f>
              <c:numCache>
                <c:formatCode>General</c:formatCode>
                <c:ptCount val="6"/>
                <c:pt idx="0">
                  <c:v>78</c:v>
                </c:pt>
                <c:pt idx="1">
                  <c:v>115</c:v>
                </c:pt>
                <c:pt idx="2">
                  <c:v>100</c:v>
                </c:pt>
                <c:pt idx="3">
                  <c:v>78</c:v>
                </c:pt>
                <c:pt idx="4">
                  <c:v>104</c:v>
                </c:pt>
                <c:pt idx="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7C-41B5-A947-6FAC6133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4604159"/>
        <c:axId val="1074612319"/>
      </c:barChart>
      <c:catAx>
        <c:axId val="10746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12319"/>
        <c:crosses val="autoZero"/>
        <c:auto val="1"/>
        <c:lblAlgn val="ctr"/>
        <c:lblOffset val="100"/>
        <c:noMultiLvlLbl val="0"/>
      </c:catAx>
      <c:valAx>
        <c:axId val="10746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0</xdr:row>
      <xdr:rowOff>185737</xdr:rowOff>
    </xdr:from>
    <xdr:to>
      <xdr:col>13</xdr:col>
      <xdr:colOff>0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F5D75-257E-0C10-6DB5-EC6D0FC11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19</xdr:row>
      <xdr:rowOff>14287</xdr:rowOff>
    </xdr:from>
    <xdr:to>
      <xdr:col>13</xdr:col>
      <xdr:colOff>1</xdr:colOff>
      <xdr:row>37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ED517F-4346-7654-EF54-EE2E2CE71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 Costello" refreshedDate="46225.592476157406" createdVersion="8" refreshedVersion="8" minRefreshableVersion="3" recordCount="51" xr:uid="{3D8AF201-81D1-4CF5-8DAC-A66FC04E5343}">
  <cacheSource type="worksheet">
    <worksheetSource ref="B6:J57" sheet="Filtered Stats (Mega)"/>
  </cacheSource>
  <cacheFields count="9">
    <cacheField name="Name" numFmtId="0">
      <sharedItems count="51">
        <s v="AbomasnowMega Abomasnow"/>
        <s v="AbsolMega Absol"/>
        <s v="AerodactylMega Aerodactyl"/>
        <s v="AggronMega Aggron"/>
        <s v="AlakazamMega Alakazam"/>
        <s v="AltariaMega Altaria"/>
        <s v="AmpharosMega Ampharos"/>
        <s v="AudinoMega Audino"/>
        <s v="BanetteMega Banette"/>
        <s v="BeedrillMega Beedrill"/>
        <s v="BlastoiseMega Blastoise"/>
        <s v="BlazikenMega Blaziken"/>
        <s v="CameruptMega Camerupt"/>
        <s v="CharizardMega Charizard X"/>
        <s v="CharizardMega Charizard Y"/>
        <s v="DiancieMega Diancie"/>
        <s v="GalladeMega Gallade"/>
        <s v="GarchompMega Garchomp"/>
        <s v="GardevoirMega Gardevoir"/>
        <s v="GengarMega Gengar"/>
        <s v="GlalieMega Glalie"/>
        <s v="GyaradosMega Gyarados"/>
        <s v="HeracrossMega Heracross"/>
        <s v="HoundoomMega Houndoom"/>
        <s v="KangaskhanMega Kangaskhan"/>
        <s v="LatiasMega Latias"/>
        <s v="LatiosMega Latios"/>
        <s v="LopunnyMega Lopunny"/>
        <s v="LucarioMega Lucario"/>
        <s v="ManectricMega Manectric"/>
        <s v="MawileMega Mawile"/>
        <s v="MedichamMega Medicham"/>
        <s v="Meganium"/>
        <s v="MetagrossMega Metagross"/>
        <s v="MewtwoMega Mewtwo X"/>
        <s v="MewtwoMega Mewtwo Y"/>
        <s v="PidgeotMega Pidgeot"/>
        <s v="PinsirMega Pinsir"/>
        <s v="RayquazaMega Rayquaza"/>
        <s v="SableyeMega Sableye"/>
        <s v="SalamenceMega Salamence"/>
        <s v="SceptileMega Sceptile"/>
        <s v="ScizorMega Scizor"/>
        <s v="SharpedoMega Sharpedo"/>
        <s v="SlowbroMega Slowbro"/>
        <s v="SteelixMega Steelix"/>
        <s v="SwampertMega Swampert"/>
        <s v="TyranitarMega Tyranitar"/>
        <s v="VenusaurMega Venusaur"/>
        <s v="Yanmega"/>
        <s v="Grand Total"/>
      </sharedItems>
    </cacheField>
    <cacheField name="Sum of #" numFmtId="0">
      <sharedItems containsSemiMixedTypes="0" containsString="0" containsNumber="1" containsInteger="1" minValue="0" maxValue="13058" count="51">
        <n v="460"/>
        <n v="359"/>
        <n v="142"/>
        <n v="306"/>
        <n v="65"/>
        <n v="334"/>
        <n v="181"/>
        <n v="531"/>
        <n v="354"/>
        <n v="15"/>
        <n v="9"/>
        <n v="257"/>
        <n v="323"/>
        <n v="6"/>
        <n v="719"/>
        <n v="475"/>
        <n v="445"/>
        <n v="282"/>
        <n v="94"/>
        <n v="362"/>
        <n v="130"/>
        <n v="214"/>
        <n v="229"/>
        <n v="115"/>
        <n v="380"/>
        <n v="381"/>
        <n v="428"/>
        <n v="448"/>
        <n v="310"/>
        <n v="303"/>
        <n v="308"/>
        <n v="154"/>
        <n v="376"/>
        <n v="150"/>
        <n v="18"/>
        <n v="127"/>
        <n v="384"/>
        <n v="302"/>
        <n v="373"/>
        <n v="254"/>
        <n v="212"/>
        <n v="319"/>
        <n v="80"/>
        <n v="208"/>
        <n v="260"/>
        <n v="248"/>
        <n v="3"/>
        <n v="469"/>
        <n v="13058"/>
        <n v="0" u="1"/>
        <n v="13046" u="1"/>
      </sharedItems>
    </cacheField>
    <cacheField name="Sum of HP" numFmtId="0">
      <sharedItems containsSemiMixedTypes="0" containsString="0" containsNumber="1" containsInteger="1" minValue="50" maxValue="3922"/>
    </cacheField>
    <cacheField name="Sum of Attack" numFmtId="0">
      <sharedItems containsSemiMixedTypes="0" containsString="0" containsNumber="1" containsInteger="1" minValue="50" maxValue="6217"/>
    </cacheField>
    <cacheField name="Sum of Defense" numFmtId="0">
      <sharedItems containsSemiMixedTypes="0" containsString="0" containsNumber="1" containsInteger="1" minValue="40" maxValue="5280"/>
    </cacheField>
    <cacheField name="Sum of Sp. Atk" numFmtId="0">
      <sharedItems containsSemiMixedTypes="0" containsString="0" containsNumber="1" containsInteger="1" minValue="15" maxValue="5642"/>
    </cacheField>
    <cacheField name="Sum of Sp. Def" numFmtId="0">
      <sharedItems containsSemiMixedTypes="0" containsString="0" containsNumber="1" containsInteger="1" minValue="56" maxValue="4926"/>
    </cacheField>
    <cacheField name="Sum of Speed" numFmtId="0">
      <sharedItems containsSemiMixedTypes="0" containsString="0" containsNumber="1" containsInteger="1" minValue="20" maxValue="4695"/>
    </cacheField>
    <cacheField name="Sum of Generation" numFmtId="0">
      <sharedItems containsSemiMixedTypes="0" containsString="0" containsNumber="1" containsInteger="1" minValue="1" maxValue="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 Costello" refreshedDate="46225.592533101852" createdVersion="8" refreshedVersion="8" minRefreshableVersion="3" recordCount="800" xr:uid="{AAD623A9-249E-4642-B547-BB87199094C7}">
  <cacheSource type="worksheet">
    <worksheetSource name="Pokemon"/>
  </cacheSource>
  <cacheFields count="14">
    <cacheField name="#" numFmtId="0">
      <sharedItems containsSemiMixedTypes="0" containsString="0" containsNumber="1" containsInteger="1" minValue="1" maxValue="721" count="7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</sharedItems>
    </cacheField>
    <cacheField name="Name" numFmtId="0">
      <sharedItems count="800">
        <s v="Bulbasaur"/>
        <s v="Ivysaur"/>
        <s v="Venusaur"/>
        <s v="VenusaurMega Venusaur"/>
        <s v="Charmander"/>
        <s v="Charmeleon"/>
        <s v="Charizard"/>
        <s v="CharizardMega Charizard X"/>
        <s v="CharizardMega Charizard Y"/>
        <s v="Squirtle"/>
        <s v="Wartortle"/>
        <s v="Blastoise"/>
        <s v="BlastoiseMega Blastoise"/>
        <s v="Caterpie"/>
        <s v="Metapod"/>
        <s v="Butterfree"/>
        <s v="Weedle"/>
        <s v="Kakuna"/>
        <s v="Beedrill"/>
        <s v="BeedrillMega Beedrill"/>
        <s v="Pidgey"/>
        <s v="Pidgeotto"/>
        <s v="PidgeotMega Pidgeot"/>
        <s v="Pidgeot"/>
        <s v="Rattata"/>
        <s v="Raticate"/>
        <s v="Spearow"/>
        <s v="Fearow"/>
        <s v="Ekans"/>
        <s v="Arbok"/>
        <s v="Pikachu"/>
        <s v="Raichu"/>
        <s v="Sandshrew"/>
        <s v="Sandslash"/>
        <s v="Nidoran♀"/>
        <s v="Nidorina"/>
        <s v="Nidoqueen"/>
        <s v="Nidoran♂"/>
        <s v="Nidorino"/>
        <s v="Nidoking"/>
        <s v="Clefairy"/>
        <s v="Clefable"/>
        <s v="Vulpix"/>
        <s v="Ninetales"/>
        <s v="Jigglypuff"/>
        <s v="Wigglytuff"/>
        <s v="Zubat"/>
        <s v="Golbat"/>
        <s v="Oddish"/>
        <s v="Gloom"/>
        <s v="Vileplume"/>
        <s v="Paras"/>
        <s v="Parasect"/>
        <s v="Venonat"/>
        <s v="Venomoth"/>
        <s v="Diglett"/>
        <s v="Dugtrio"/>
        <s v="Meowth"/>
        <s v="Persian"/>
        <s v="Psyduck"/>
        <s v="Golduck"/>
        <s v="Mankey"/>
        <s v="Primeape"/>
        <s v="Growlithe"/>
        <s v="Arcanine"/>
        <s v="Poliwag"/>
        <s v="Poliwhirl"/>
        <s v="Poliwrath"/>
        <s v="Abra"/>
        <s v="Kadabra"/>
        <s v="Alakazam"/>
        <s v="AlakazamMega Alakazam"/>
        <s v="Machop"/>
        <s v="Machoke"/>
        <s v="Machamp"/>
        <s v="Bellsprout"/>
        <s v="Weepinbell"/>
        <s v="Victreebel"/>
        <s v="Tentacool"/>
        <s v="Tentacruel"/>
        <s v="Geodude"/>
        <s v="Graveler"/>
        <s v="Golem"/>
        <s v="Ponyta"/>
        <s v="Rapidash"/>
        <s v="Slowpoke"/>
        <s v="Slowbro"/>
        <s v="SlowbroMega Slowbro"/>
        <s v="Magnemite"/>
        <s v="Magneton"/>
        <s v="Farfetch'd"/>
        <s v="Doduo"/>
        <s v="Dodrio"/>
        <s v="Seel"/>
        <s v="Dewgong"/>
        <s v="Grimer"/>
        <s v="Muk"/>
        <s v="Shellder"/>
        <s v="Cloyster"/>
        <s v="Gastly"/>
        <s v="Haunter"/>
        <s v="GengarMega Gengar"/>
        <s v="Gengar"/>
        <s v="Onix"/>
        <s v="Drowzee"/>
        <s v="Hypno"/>
        <s v="Krabby"/>
        <s v="Kingler"/>
        <s v="Voltorb"/>
        <s v="Electrode"/>
        <s v="Exeggcute"/>
        <s v="Exeggutor"/>
        <s v="Cubone"/>
        <s v="Marowak"/>
        <s v="Hitmonlee"/>
        <s v="Hitmonchan"/>
        <s v="Lickitung"/>
        <s v="Koffing"/>
        <s v="Weezing"/>
        <s v="Rhyhorn"/>
        <s v="Rhydon"/>
        <s v="Chansey"/>
        <s v="Tangela"/>
        <s v="Kangaskhan"/>
        <s v="KangaskhanMega Kangaskhan"/>
        <s v="Horsea"/>
        <s v="Seadra"/>
        <s v="Goldeen"/>
        <s v="Seaking"/>
        <s v="Staryu"/>
        <s v="Starmie"/>
        <s v="Mr. Mime"/>
        <s v="Scyther"/>
        <s v="Jynx"/>
        <s v="Electabuzz"/>
        <s v="Magmar"/>
        <s v="PinsirMega Pinsir"/>
        <s v="Pinsir"/>
        <s v="Tauros"/>
        <s v="Magikarp"/>
        <s v="GyaradosMega Gyarados"/>
        <s v="Gyarados"/>
        <s v="Lapras"/>
        <s v="Ditto"/>
        <s v="Eevee"/>
        <s v="Vaporeon"/>
        <s v="Jolteon"/>
        <s v="Flareon"/>
        <s v="Porygon"/>
        <s v="Omanyte"/>
        <s v="Omastar"/>
        <s v="Kabuto"/>
        <s v="Kabutops"/>
        <s v="AerodactylMega Aerodactyl"/>
        <s v="Aerodactyl"/>
        <s v="Snorlax"/>
        <s v="Articuno"/>
        <s v="Zapdos"/>
        <s v="Moltres"/>
        <s v="Dratini"/>
        <s v="Dragonair"/>
        <s v="Dragonite"/>
        <s v="MewtwoMega Mewtwo X"/>
        <s v="MewtwoMega Mewtwo Y"/>
        <s v="Mewtwo"/>
        <s v="Mew"/>
        <s v="Chikorita"/>
        <s v="Bayleef"/>
        <s v="Meganium"/>
        <s v="Cyndaquil"/>
        <s v="Quilava"/>
        <s v="Typhlosion"/>
        <s v="Totodile"/>
        <s v="Croconaw"/>
        <s v="Feraligatr"/>
        <s v="Sentret"/>
        <s v="Furret"/>
        <s v="Hoothoot"/>
        <s v="Noctowl"/>
        <s v="Ledyba"/>
        <s v="Ledian"/>
        <s v="Spinarak"/>
        <s v="Ariados"/>
        <s v="Crobat"/>
        <s v="Chinchou"/>
        <s v="Lanturn"/>
        <s v="Pichu"/>
        <s v="Cleffa"/>
        <s v="Igglybuff"/>
        <s v="Togepi"/>
        <s v="Togetic"/>
        <s v="Natu"/>
        <s v="Xatu"/>
        <s v="Mareep"/>
        <s v="Flaaffy"/>
        <s v="AmpharosMega Ampharos"/>
        <s v="Ampharos"/>
        <s v="Bellossom"/>
        <s v="Marill"/>
        <s v="Azumarill"/>
        <s v="Sudowoodo"/>
        <s v="Politoed"/>
        <s v="Hoppip"/>
        <s v="Skiploom"/>
        <s v="Jumpluff"/>
        <s v="Aipom"/>
        <s v="Sunkern"/>
        <s v="Sunflora"/>
        <s v="Yanma"/>
        <s v="Wooper"/>
        <s v="Quagsire"/>
        <s v="Espeon"/>
        <s v="Umbreon"/>
        <s v="Murkrow"/>
        <s v="Slowking"/>
        <s v="Misdreavus"/>
        <s v="Unown"/>
        <s v="Wobbuffet"/>
        <s v="Girafarig"/>
        <s v="Pineco"/>
        <s v="Forretress"/>
        <s v="Dunsparce"/>
        <s v="Gligar"/>
        <s v="SteelixMega Steelix"/>
        <s v="Steelix"/>
        <s v="Snubbull"/>
        <s v="Granbull"/>
        <s v="Qwilfish"/>
        <s v="ScizorMega Scizor"/>
        <s v="Scizor"/>
        <s v="Shuckle"/>
        <s v="Heracross"/>
        <s v="HeracrossMega Heracross"/>
        <s v="Sneasel"/>
        <s v="Teddiursa"/>
        <s v="Ursaring"/>
        <s v="Slugma"/>
        <s v="Magcargo"/>
        <s v="Swinub"/>
        <s v="Piloswine"/>
        <s v="Corsola"/>
        <s v="Remoraid"/>
        <s v="Octillery"/>
        <s v="Delibird"/>
        <s v="Mantine"/>
        <s v="Skarmory"/>
        <s v="Houndour"/>
        <s v="Houndoom"/>
        <s v="HoundoomMega Houndoom"/>
        <s v="Kingdra"/>
        <s v="Phanpy"/>
        <s v="Donphan"/>
        <s v="Porygon2"/>
        <s v="Stantler"/>
        <s v="Smeargle"/>
        <s v="Tyrogue"/>
        <s v="Hitmontop"/>
        <s v="Smoochum"/>
        <s v="Elekid"/>
        <s v="Magby"/>
        <s v="Miltank"/>
        <s v="Blissey"/>
        <s v="Raikou"/>
        <s v="Entei"/>
        <s v="Suicune"/>
        <s v="Larvitar"/>
        <s v="Pupitar"/>
        <s v="TyranitarMega Tyranitar"/>
        <s v="Tyranitar"/>
        <s v="Lugia"/>
        <s v="Ho-oh"/>
        <s v="Celebi"/>
        <s v="Treecko"/>
        <s v="Grovyle"/>
        <s v="SceptileMega Sceptile"/>
        <s v="Sceptile"/>
        <s v="Torchic"/>
        <s v="Combusken"/>
        <s v="Blaziken"/>
        <s v="BlazikenMega Blaziken"/>
        <s v="Mudkip"/>
        <s v="Marshtomp"/>
        <s v="Swampert"/>
        <s v="SwampertMega Swampert"/>
        <s v="Poochyena"/>
        <s v="Mightyena"/>
        <s v="Zigzagoon"/>
        <s v="Linoone"/>
        <s v="Wurmple"/>
        <s v="Silcoon"/>
        <s v="Beautifly"/>
        <s v="Cascoon"/>
        <s v="Dustox"/>
        <s v="Lotad"/>
        <s v="Lombre"/>
        <s v="Ludicolo"/>
        <s v="Seedot"/>
        <s v="Nuzleaf"/>
        <s v="Shiftry"/>
        <s v="Taillow"/>
        <s v="Swellow"/>
        <s v="Wingull"/>
        <s v="Pelipper"/>
        <s v="Ralts"/>
        <s v="Kirlia"/>
        <s v="Gardevoir"/>
        <s v="GardevoirMega Gardevoir"/>
        <s v="Surskit"/>
        <s v="Masquerain"/>
        <s v="Shroomish"/>
        <s v="Breloom"/>
        <s v="Slakoth"/>
        <s v="Vigoroth"/>
        <s v="Slaking"/>
        <s v="Nincada"/>
        <s v="Ninjask"/>
        <s v="Shedinja"/>
        <s v="Whismur"/>
        <s v="Loudred"/>
        <s v="Exploud"/>
        <s v="Makuhita"/>
        <s v="Hariyama"/>
        <s v="Azurill"/>
        <s v="Nosepass"/>
        <s v="Skitty"/>
        <s v="Delcatty"/>
        <s v="Sableye"/>
        <s v="SableyeMega Sableye"/>
        <s v="MawileMega Mawile"/>
        <s v="Mawile"/>
        <s v="Aron"/>
        <s v="Lairon"/>
        <s v="AggronMega Aggron"/>
        <s v="Aggron"/>
        <s v="Meditite"/>
        <s v="Medicham"/>
        <s v="MedichamMega Medicham"/>
        <s v="Electrike"/>
        <s v="ManectricMega Manectric"/>
        <s v="Manectric"/>
        <s v="Plusle"/>
        <s v="Minun"/>
        <s v="Volbeat"/>
        <s v="Illumise"/>
        <s v="Roselia"/>
        <s v="Gulpin"/>
        <s v="Swalot"/>
        <s v="Carvanha"/>
        <s v="SharpedoMega Sharpedo"/>
        <s v="Sharpedo"/>
        <s v="Wailmer"/>
        <s v="Wailord"/>
        <s v="Numel"/>
        <s v="CameruptMega Camerupt"/>
        <s v="Camerupt"/>
        <s v="Torkoal"/>
        <s v="Spoink"/>
        <s v="Grumpig"/>
        <s v="Spinda"/>
        <s v="Trapinch"/>
        <s v="Vibrava"/>
        <s v="Flygon"/>
        <s v="Cacnea"/>
        <s v="Cacturne"/>
        <s v="Swablu"/>
        <s v="AltariaMega Altaria"/>
        <s v="Altaria"/>
        <s v="Zangoose"/>
        <s v="Seviper"/>
        <s v="Lunatone"/>
        <s v="Solrock"/>
        <s v="Barboach"/>
        <s v="Whiscash"/>
        <s v="Corphish"/>
        <s v="Crawdaunt"/>
        <s v="Baltoy"/>
        <s v="Claydol"/>
        <s v="Lileep"/>
        <s v="Cradily"/>
        <s v="Anorith"/>
        <s v="Armaldo"/>
        <s v="Feebas"/>
        <s v="Milotic"/>
        <s v="Castform"/>
        <s v="Kecleon"/>
        <s v="Shuppet"/>
        <s v="Banette"/>
        <s v="BanetteMega Banette"/>
        <s v="Duskull"/>
        <s v="Dusclops"/>
        <s v="Tropius"/>
        <s v="Chimecho"/>
        <s v="AbsolMega Absol"/>
        <s v="Absol"/>
        <s v="Wynaut"/>
        <s v="Snorunt"/>
        <s v="GlalieMega Glalie"/>
        <s v="Glalie"/>
        <s v="Spheal"/>
        <s v="Sealeo"/>
        <s v="Walrein"/>
        <s v="Clamperl"/>
        <s v="Huntail"/>
        <s v="Gorebyss"/>
        <s v="Relicanth"/>
        <s v="Luvdisc"/>
        <s v="Bagon"/>
        <s v="Shelgon"/>
        <s v="Salamence"/>
        <s v="SalamenceMega Salamence"/>
        <s v="Beldum"/>
        <s v="Metang"/>
        <s v="MetagrossMega Metagross"/>
        <s v="Metagross"/>
        <s v="Regirock"/>
        <s v="Regice"/>
        <s v="Registeel"/>
        <s v="Latias"/>
        <s v="LatiasMega Latias"/>
        <s v="LatiosMega Latios"/>
        <s v="Latios"/>
        <s v="KyogrePrimal Kyogre"/>
        <s v="Kyogre"/>
        <s v="GroudonPrimal Groudon"/>
        <s v="Groudon"/>
        <s v="RayquazaMega Rayquaza"/>
        <s v="Rayquaza"/>
        <s v="Jirachi"/>
        <s v="DeoxysAttack Forme"/>
        <s v="DeoxysSpeed Forme"/>
        <s v="DeoxysDefense Forme"/>
        <s v="DeoxysNormal Forme"/>
        <s v="Turtwig"/>
        <s v="Grotle"/>
        <s v="Torterra"/>
        <s v="Chimchar"/>
        <s v="Monferno"/>
        <s v="Infernape"/>
        <s v="Piplup"/>
        <s v="Prinplup"/>
        <s v="Empoleon"/>
        <s v="Starly"/>
        <s v="Staravia"/>
        <s v="Staraptor"/>
        <s v="Bidoof"/>
        <s v="Bibarel"/>
        <s v="Kricketot"/>
        <s v="Kricketune"/>
        <s v="Shinx"/>
        <s v="Luxio"/>
        <s v="Luxray"/>
        <s v="Budew"/>
        <s v="Roserade"/>
        <s v="Cranidos"/>
        <s v="Rampardos"/>
        <s v="Shieldon"/>
        <s v="Bastiodon"/>
        <s v="Burmy"/>
        <s v="WormadamTrash Cloak"/>
        <s v="WormadamPlant Cloak"/>
        <s v="WormadamSandy Cloak"/>
        <s v="Mothim"/>
        <s v="Combee"/>
        <s v="Vespiquen"/>
        <s v="Pachirisu"/>
        <s v="Buizel"/>
        <s v="Floatzel"/>
        <s v="Cherubi"/>
        <s v="Cherrim"/>
        <s v="Shellos"/>
        <s v="Gastrodon"/>
        <s v="Ambipom"/>
        <s v="Drifloon"/>
        <s v="Drifblim"/>
        <s v="Buneary"/>
        <s v="Lopunny"/>
        <s v="LopunnyMega Lopunny"/>
        <s v="Mismagius"/>
        <s v="Honchkrow"/>
        <s v="Glameow"/>
        <s v="Purugly"/>
        <s v="Chingling"/>
        <s v="Stunky"/>
        <s v="Skuntank"/>
        <s v="Bronzor"/>
        <s v="Bronzong"/>
        <s v="Bonsly"/>
        <s v="Mime Jr."/>
        <s v="Happiny"/>
        <s v="Chatot"/>
        <s v="Spiritomb"/>
        <s v="Gible"/>
        <s v="Gabite"/>
        <s v="Garchomp"/>
        <s v="GarchompMega Garchomp"/>
        <s v="Munchlax"/>
        <s v="Riolu"/>
        <s v="LucarioMega Lucario"/>
        <s v="Lucario"/>
        <s v="Hippopotas"/>
        <s v="Hippowdon"/>
        <s v="Skorupi"/>
        <s v="Drapion"/>
        <s v="Croagunk"/>
        <s v="Toxicroak"/>
        <s v="Carnivine"/>
        <s v="Finneon"/>
        <s v="Lumineon"/>
        <s v="Mantyke"/>
        <s v="Snover"/>
        <s v="AbomasnowMega Abomasnow"/>
        <s v="Abomasnow"/>
        <s v="Weavile"/>
        <s v="Magnezone"/>
        <s v="Lickilicky"/>
        <s v="Rhyperior"/>
        <s v="Tangrowth"/>
        <s v="Electivire"/>
        <s v="Magmortar"/>
        <s v="Togekiss"/>
        <s v="Yanmega"/>
        <s v="Leafeon"/>
        <s v="Glaceon"/>
        <s v="Gliscor"/>
        <s v="Mamoswine"/>
        <s v="Porygon-Z"/>
        <s v="Gallade"/>
        <s v="GalladeMega Gallade"/>
        <s v="Probopass"/>
        <s v="Dusknoir"/>
        <s v="Froslass"/>
        <s v="Rotom"/>
        <s v="RotomFrost Rotom"/>
        <s v="RotomHeat Rotom"/>
        <s v="RotomMow Rotom"/>
        <s v="RotomFan Rotom"/>
        <s v="RotomWash Rotom"/>
        <s v="Uxie"/>
        <s v="Mesprit"/>
        <s v="Azelf"/>
        <s v="Dialga"/>
        <s v="Palkia"/>
        <s v="Heatran"/>
        <s v="Regigigas"/>
        <s v="GiratinaAltered Forme"/>
        <s v="GiratinaOrigin Forme"/>
        <s v="Cresselia"/>
        <s v="Phione"/>
        <s v="Manaphy"/>
        <s v="Darkrai"/>
        <s v="ShayminLand Forme"/>
        <s v="ShayminSky Forme"/>
        <s v="Arceus"/>
        <s v="Victini"/>
        <s v="Snivy"/>
        <s v="Servine"/>
        <s v="Serperior"/>
        <s v="Tepig"/>
        <s v="Pignite"/>
        <s v="Emboar"/>
        <s v="Oshawott"/>
        <s v="Dewott"/>
        <s v="Samurott"/>
        <s v="Patrat"/>
        <s v="Watchog"/>
        <s v="Lillipup"/>
        <s v="Herdier"/>
        <s v="Stoutland"/>
        <s v="Purrloin"/>
        <s v="Liepard"/>
        <s v="Pansage"/>
        <s v="Simisage"/>
        <s v="Pansear"/>
        <s v="Simisear"/>
        <s v="Panpour"/>
        <s v="Simipour"/>
        <s v="Munna"/>
        <s v="Musharna"/>
        <s v="Pidove"/>
        <s v="Tranquill"/>
        <s v="Unfezant"/>
        <s v="Blitzle"/>
        <s v="Zebstrika"/>
        <s v="Roggenrola"/>
        <s v="Boldore"/>
        <s v="Gigalith"/>
        <s v="Woobat"/>
        <s v="Swoobat"/>
        <s v="Drilbur"/>
        <s v="Excadrill"/>
        <s v="Audino"/>
        <s v="AudinoMega Audino"/>
        <s v="Timburr"/>
        <s v="Gurdurr"/>
        <s v="Conkeldurr"/>
        <s v="Tympole"/>
        <s v="Palpitoad"/>
        <s v="Seismitoad"/>
        <s v="Throh"/>
        <s v="Sawk"/>
        <s v="Sewaddle"/>
        <s v="Swadloon"/>
        <s v="Leavanny"/>
        <s v="Venipede"/>
        <s v="Whirlipede"/>
        <s v="Scolipede"/>
        <s v="Cottonee"/>
        <s v="Whimsicott"/>
        <s v="Petilil"/>
        <s v="Lilligant"/>
        <s v="Basculin"/>
        <s v="Sandile"/>
        <s v="Krokorok"/>
        <s v="Krookodile"/>
        <s v="Darumaka"/>
        <s v="DarmanitanStandard Mode"/>
        <s v="DarmanitanZen Mode"/>
        <s v="Maractus"/>
        <s v="Dwebble"/>
        <s v="Crustle"/>
        <s v="Scraggy"/>
        <s v="Scrafty"/>
        <s v="Sigilyph"/>
        <s v="Yamask"/>
        <s v="Cofagrigus"/>
        <s v="Tirtouga"/>
        <s v="Carracosta"/>
        <s v="Archen"/>
        <s v="Archeops"/>
        <s v="Trubbish"/>
        <s v="Garbodor"/>
        <s v="Zorua"/>
        <s v="Zoroark"/>
        <s v="Minccino"/>
        <s v="Cinccino"/>
        <s v="Gothita"/>
        <s v="Gothorita"/>
        <s v="Gothitelle"/>
        <s v="Solosis"/>
        <s v="Duosion"/>
        <s v="Reuniclus"/>
        <s v="Ducklett"/>
        <s v="Swanna"/>
        <s v="Vanillite"/>
        <s v="Vanillish"/>
        <s v="Vanilluxe"/>
        <s v="Deerling"/>
        <s v="Sawsbuck"/>
        <s v="Emolga"/>
        <s v="Karrablast"/>
        <s v="Escavalier"/>
        <s v="Foongus"/>
        <s v="Amoonguss"/>
        <s v="Frillish"/>
        <s v="Jellicent"/>
        <s v="Alomomola"/>
        <s v="Joltik"/>
        <s v="Galvantula"/>
        <s v="Ferroseed"/>
        <s v="Ferrothorn"/>
        <s v="Klink"/>
        <s v="Klang"/>
        <s v="Klinklang"/>
        <s v="Tynamo"/>
        <s v="Eelektrik"/>
        <s v="Eelektross"/>
        <s v="Elgyem"/>
        <s v="Beheeyem"/>
        <s v="Litwick"/>
        <s v="Lampent"/>
        <s v="Chandelure"/>
        <s v="Axew"/>
        <s v="Fraxure"/>
        <s v="Haxorus"/>
        <s v="Cubchoo"/>
        <s v="Beartic"/>
        <s v="Cryogonal"/>
        <s v="Shelmet"/>
        <s v="Accelgor"/>
        <s v="Stunfisk"/>
        <s v="Mienfoo"/>
        <s v="Mienshao"/>
        <s v="Druddigon"/>
        <s v="Golett"/>
        <s v="Golurk"/>
        <s v="Pawniard"/>
        <s v="Bisharp"/>
        <s v="Bouffalant"/>
        <s v="Rufflet"/>
        <s v="Braviary"/>
        <s v="Vullaby"/>
        <s v="Mandibuzz"/>
        <s v="Heatmor"/>
        <s v="Durant"/>
        <s v="Deino"/>
        <s v="Zweilous"/>
        <s v="Hydreigon"/>
        <s v="Larvesta"/>
        <s v="Volcarona"/>
        <s v="Cobalion"/>
        <s v="Terrakion"/>
        <s v="Virizion"/>
        <s v="TornadusTherian Forme"/>
        <s v="TornadusIncarnate Forme"/>
        <s v="ThundurusIncarnate Forme"/>
        <s v="ThundurusTherian Forme"/>
        <s v="Reshiram"/>
        <s v="Zekrom"/>
        <s v="LandorusTherian Forme"/>
        <s v="LandorusIncarnate Forme"/>
        <s v="KyuremWhite Kyurem"/>
        <s v="Kyurem"/>
        <s v="KyuremBlack Kyurem"/>
        <s v="KeldeoResolute Forme"/>
        <s v="KeldeoOrdinary Forme"/>
        <s v="MeloettaPirouette Forme"/>
        <s v="MeloettaAria Forme"/>
        <s v="Genesect"/>
        <s v="Chespin"/>
        <s v="Quilladin"/>
        <s v="Chesnaught"/>
        <s v="Fennekin"/>
        <s v="Braixen"/>
        <s v="Delphox"/>
        <s v="Froakie"/>
        <s v="Frogadier"/>
        <s v="Greninja"/>
        <s v="Bunnelby"/>
        <s v="Diggersby"/>
        <s v="Fletchling"/>
        <s v="Fletchinder"/>
        <s v="Talonflame"/>
        <s v="Scatterbug"/>
        <s v="Spewpa"/>
        <s v="Vivillon"/>
        <s v="Litleo"/>
        <s v="Pyroar"/>
        <s v="Flabébé"/>
        <s v="Floette"/>
        <s v="Florges"/>
        <s v="Skiddo"/>
        <s v="Gogoat"/>
        <s v="Pancham"/>
        <s v="Pangoro"/>
        <s v="Furfrou"/>
        <s v="Espurr"/>
        <s v="MeowsticMale"/>
        <s v="MeowsticFemale"/>
        <s v="Honedge"/>
        <s v="Doublade"/>
        <s v="AegislashShield Forme"/>
        <s v="AegislashBlade Forme"/>
        <s v="Spritzee"/>
        <s v="Aromatisse"/>
        <s v="Swirlix"/>
        <s v="Slurpuff"/>
        <s v="Inkay"/>
        <s v="Malamar"/>
        <s v="Binacle"/>
        <s v="Barbaracle"/>
        <s v="Skrelp"/>
        <s v="Dragalge"/>
        <s v="Clauncher"/>
        <s v="Clawitzer"/>
        <s v="Helioptile"/>
        <s v="Heliolisk"/>
        <s v="Tyrunt"/>
        <s v="Tyrantrum"/>
        <s v="Amaura"/>
        <s v="Aurorus"/>
        <s v="Sylveon"/>
        <s v="Hawlucha"/>
        <s v="Dedenne"/>
        <s v="Carbink"/>
        <s v="Goomy"/>
        <s v="Sliggoo"/>
        <s v="Goodra"/>
        <s v="Klefki"/>
        <s v="Phantump"/>
        <s v="Trevenant"/>
        <s v="PumpkabooAverage Size"/>
        <s v="PumpkabooLarge Size"/>
        <s v="PumpkabooSuper Size"/>
        <s v="PumpkabooSmall Size"/>
        <s v="GourgeistSmall Size"/>
        <s v="GourgeistSuper Size"/>
        <s v="GourgeistAverage Size"/>
        <s v="GourgeistLarge Size"/>
        <s v="Bergmite"/>
        <s v="Avalugg"/>
        <s v="Noibat"/>
        <s v="Noivern"/>
        <s v="Xerneas"/>
        <s v="Yveltal"/>
        <s v="Zygarde50% Forme"/>
        <s v="DiancieMega Diancie"/>
        <s v="Diancie"/>
        <s v="HoopaHoopa Confined"/>
        <s v="HoopaHoopa Unbound"/>
        <s v="Volcanion"/>
      </sharedItems>
    </cacheField>
    <cacheField name="Type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ype 2" numFmtId="0">
      <sharedItems count="19">
        <s v="Poison"/>
        <s v="N/A"/>
        <s v="Flying"/>
        <s v="Dragon"/>
        <s v="Ground"/>
        <s v="Fairy"/>
        <s v="Grass"/>
        <s v="Fighting"/>
        <s v="Psychic"/>
        <s v="Steel"/>
        <s v="Ice"/>
        <s v="Rock"/>
        <s v="Dark"/>
        <s v="Water"/>
        <s v="Electric"/>
        <s v="Fire"/>
        <s v="Ghost"/>
        <s v="Bug"/>
        <s v="Normal"/>
      </sharedItems>
    </cacheField>
    <cacheField name="Total" numFmtId="0">
      <sharedItems containsSemiMixedTypes="0" containsString="0" containsNumber="1" containsInteger="1" minValue="180" maxValue="780"/>
    </cacheField>
    <cacheField name="HP" numFmtId="0">
      <sharedItems containsSemiMixedTypes="0" containsString="0" containsNumber="1" containsInteger="1" minValue="1" maxValue="255"/>
    </cacheField>
    <cacheField name="Attack" numFmtId="0">
      <sharedItems containsSemiMixedTypes="0" containsString="0" containsNumber="1" containsInteger="1" minValue="5" maxValue="190"/>
    </cacheField>
    <cacheField name="Defense" numFmtId="0">
      <sharedItems containsSemiMixedTypes="0" containsString="0" containsNumber="1" containsInteger="1" minValue="5" maxValue="230"/>
    </cacheField>
    <cacheField name="Sp. Atk" numFmtId="0">
      <sharedItems containsSemiMixedTypes="0" containsString="0" containsNumber="1" containsInteger="1" minValue="10" maxValue="194"/>
    </cacheField>
    <cacheField name="Sp. Def" numFmtId="0">
      <sharedItems containsSemiMixedTypes="0" containsString="0" containsNumber="1" containsInteger="1" minValue="20" maxValue="230"/>
    </cacheField>
    <cacheField name="Speed" numFmtId="0">
      <sharedItems containsSemiMixedTypes="0" containsString="0" containsNumber="1" containsInteger="1" minValue="5" maxValue="180"/>
    </cacheField>
    <cacheField name="Generation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Legendary" numFmtId="0">
      <sharedItems count="2">
        <b v="0"/>
        <b v="1"/>
      </sharedItems>
    </cacheField>
    <cacheField name="Mega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90"/>
    <n v="132"/>
    <n v="105"/>
    <n v="132"/>
    <n v="105"/>
    <n v="30"/>
    <n v="4"/>
  </r>
  <r>
    <x v="1"/>
    <x v="1"/>
    <n v="65"/>
    <n v="150"/>
    <n v="60"/>
    <n v="115"/>
    <n v="60"/>
    <n v="115"/>
    <n v="3"/>
  </r>
  <r>
    <x v="2"/>
    <x v="2"/>
    <n v="80"/>
    <n v="135"/>
    <n v="85"/>
    <n v="70"/>
    <n v="95"/>
    <n v="150"/>
    <n v="1"/>
  </r>
  <r>
    <x v="3"/>
    <x v="3"/>
    <n v="70"/>
    <n v="140"/>
    <n v="230"/>
    <n v="60"/>
    <n v="80"/>
    <n v="50"/>
    <n v="3"/>
  </r>
  <r>
    <x v="4"/>
    <x v="4"/>
    <n v="55"/>
    <n v="50"/>
    <n v="65"/>
    <n v="175"/>
    <n v="95"/>
    <n v="150"/>
    <n v="1"/>
  </r>
  <r>
    <x v="5"/>
    <x v="5"/>
    <n v="75"/>
    <n v="110"/>
    <n v="110"/>
    <n v="110"/>
    <n v="105"/>
    <n v="80"/>
    <n v="3"/>
  </r>
  <r>
    <x v="6"/>
    <x v="6"/>
    <n v="90"/>
    <n v="95"/>
    <n v="105"/>
    <n v="165"/>
    <n v="110"/>
    <n v="45"/>
    <n v="2"/>
  </r>
  <r>
    <x v="7"/>
    <x v="7"/>
    <n v="103"/>
    <n v="60"/>
    <n v="126"/>
    <n v="80"/>
    <n v="126"/>
    <n v="50"/>
    <n v="5"/>
  </r>
  <r>
    <x v="8"/>
    <x v="8"/>
    <n v="64"/>
    <n v="165"/>
    <n v="75"/>
    <n v="93"/>
    <n v="83"/>
    <n v="75"/>
    <n v="3"/>
  </r>
  <r>
    <x v="9"/>
    <x v="9"/>
    <n v="65"/>
    <n v="150"/>
    <n v="40"/>
    <n v="15"/>
    <n v="80"/>
    <n v="145"/>
    <n v="1"/>
  </r>
  <r>
    <x v="10"/>
    <x v="10"/>
    <n v="79"/>
    <n v="103"/>
    <n v="120"/>
    <n v="135"/>
    <n v="115"/>
    <n v="78"/>
    <n v="1"/>
  </r>
  <r>
    <x v="11"/>
    <x v="11"/>
    <n v="80"/>
    <n v="160"/>
    <n v="80"/>
    <n v="130"/>
    <n v="80"/>
    <n v="100"/>
    <n v="3"/>
  </r>
  <r>
    <x v="12"/>
    <x v="12"/>
    <n v="70"/>
    <n v="120"/>
    <n v="100"/>
    <n v="145"/>
    <n v="105"/>
    <n v="20"/>
    <n v="3"/>
  </r>
  <r>
    <x v="13"/>
    <x v="13"/>
    <n v="78"/>
    <n v="130"/>
    <n v="111"/>
    <n v="130"/>
    <n v="85"/>
    <n v="100"/>
    <n v="1"/>
  </r>
  <r>
    <x v="14"/>
    <x v="13"/>
    <n v="78"/>
    <n v="104"/>
    <n v="78"/>
    <n v="159"/>
    <n v="115"/>
    <n v="100"/>
    <n v="1"/>
  </r>
  <r>
    <x v="15"/>
    <x v="14"/>
    <n v="50"/>
    <n v="160"/>
    <n v="110"/>
    <n v="160"/>
    <n v="110"/>
    <n v="110"/>
    <n v="6"/>
  </r>
  <r>
    <x v="16"/>
    <x v="15"/>
    <n v="68"/>
    <n v="165"/>
    <n v="95"/>
    <n v="65"/>
    <n v="115"/>
    <n v="110"/>
    <n v="4"/>
  </r>
  <r>
    <x v="17"/>
    <x v="16"/>
    <n v="108"/>
    <n v="170"/>
    <n v="115"/>
    <n v="120"/>
    <n v="95"/>
    <n v="92"/>
    <n v="4"/>
  </r>
  <r>
    <x v="18"/>
    <x v="17"/>
    <n v="68"/>
    <n v="85"/>
    <n v="65"/>
    <n v="165"/>
    <n v="135"/>
    <n v="100"/>
    <n v="3"/>
  </r>
  <r>
    <x v="19"/>
    <x v="18"/>
    <n v="60"/>
    <n v="65"/>
    <n v="80"/>
    <n v="170"/>
    <n v="95"/>
    <n v="130"/>
    <n v="1"/>
  </r>
  <r>
    <x v="20"/>
    <x v="19"/>
    <n v="80"/>
    <n v="120"/>
    <n v="80"/>
    <n v="120"/>
    <n v="80"/>
    <n v="100"/>
    <n v="3"/>
  </r>
  <r>
    <x v="21"/>
    <x v="20"/>
    <n v="95"/>
    <n v="155"/>
    <n v="109"/>
    <n v="70"/>
    <n v="130"/>
    <n v="81"/>
    <n v="1"/>
  </r>
  <r>
    <x v="22"/>
    <x v="21"/>
    <n v="80"/>
    <n v="185"/>
    <n v="115"/>
    <n v="40"/>
    <n v="105"/>
    <n v="75"/>
    <n v="2"/>
  </r>
  <r>
    <x v="23"/>
    <x v="22"/>
    <n v="75"/>
    <n v="90"/>
    <n v="90"/>
    <n v="140"/>
    <n v="90"/>
    <n v="115"/>
    <n v="2"/>
  </r>
  <r>
    <x v="24"/>
    <x v="23"/>
    <n v="105"/>
    <n v="125"/>
    <n v="100"/>
    <n v="60"/>
    <n v="100"/>
    <n v="100"/>
    <n v="1"/>
  </r>
  <r>
    <x v="25"/>
    <x v="24"/>
    <n v="80"/>
    <n v="100"/>
    <n v="120"/>
    <n v="140"/>
    <n v="150"/>
    <n v="110"/>
    <n v="3"/>
  </r>
  <r>
    <x v="26"/>
    <x v="25"/>
    <n v="80"/>
    <n v="130"/>
    <n v="100"/>
    <n v="160"/>
    <n v="120"/>
    <n v="110"/>
    <n v="3"/>
  </r>
  <r>
    <x v="27"/>
    <x v="26"/>
    <n v="65"/>
    <n v="136"/>
    <n v="94"/>
    <n v="54"/>
    <n v="96"/>
    <n v="135"/>
    <n v="4"/>
  </r>
  <r>
    <x v="28"/>
    <x v="27"/>
    <n v="70"/>
    <n v="145"/>
    <n v="88"/>
    <n v="140"/>
    <n v="70"/>
    <n v="112"/>
    <n v="4"/>
  </r>
  <r>
    <x v="29"/>
    <x v="28"/>
    <n v="70"/>
    <n v="75"/>
    <n v="80"/>
    <n v="135"/>
    <n v="80"/>
    <n v="135"/>
    <n v="3"/>
  </r>
  <r>
    <x v="30"/>
    <x v="29"/>
    <n v="50"/>
    <n v="105"/>
    <n v="125"/>
    <n v="55"/>
    <n v="95"/>
    <n v="50"/>
    <n v="3"/>
  </r>
  <r>
    <x v="31"/>
    <x v="30"/>
    <n v="60"/>
    <n v="100"/>
    <n v="85"/>
    <n v="80"/>
    <n v="85"/>
    <n v="100"/>
    <n v="3"/>
  </r>
  <r>
    <x v="32"/>
    <x v="31"/>
    <n v="80"/>
    <n v="82"/>
    <n v="100"/>
    <n v="83"/>
    <n v="100"/>
    <n v="80"/>
    <n v="2"/>
  </r>
  <r>
    <x v="33"/>
    <x v="32"/>
    <n v="80"/>
    <n v="145"/>
    <n v="150"/>
    <n v="105"/>
    <n v="110"/>
    <n v="110"/>
    <n v="3"/>
  </r>
  <r>
    <x v="34"/>
    <x v="33"/>
    <n v="106"/>
    <n v="190"/>
    <n v="100"/>
    <n v="154"/>
    <n v="100"/>
    <n v="130"/>
    <n v="1"/>
  </r>
  <r>
    <x v="35"/>
    <x v="33"/>
    <n v="106"/>
    <n v="150"/>
    <n v="70"/>
    <n v="194"/>
    <n v="120"/>
    <n v="140"/>
    <n v="1"/>
  </r>
  <r>
    <x v="36"/>
    <x v="34"/>
    <n v="83"/>
    <n v="80"/>
    <n v="80"/>
    <n v="135"/>
    <n v="80"/>
    <n v="121"/>
    <n v="1"/>
  </r>
  <r>
    <x v="37"/>
    <x v="35"/>
    <n v="65"/>
    <n v="155"/>
    <n v="120"/>
    <n v="65"/>
    <n v="90"/>
    <n v="105"/>
    <n v="1"/>
  </r>
  <r>
    <x v="38"/>
    <x v="36"/>
    <n v="105"/>
    <n v="180"/>
    <n v="100"/>
    <n v="180"/>
    <n v="100"/>
    <n v="115"/>
    <n v="3"/>
  </r>
  <r>
    <x v="39"/>
    <x v="37"/>
    <n v="50"/>
    <n v="85"/>
    <n v="125"/>
    <n v="85"/>
    <n v="115"/>
    <n v="20"/>
    <n v="3"/>
  </r>
  <r>
    <x v="40"/>
    <x v="38"/>
    <n v="95"/>
    <n v="145"/>
    <n v="130"/>
    <n v="120"/>
    <n v="90"/>
    <n v="120"/>
    <n v="3"/>
  </r>
  <r>
    <x v="41"/>
    <x v="39"/>
    <n v="70"/>
    <n v="110"/>
    <n v="75"/>
    <n v="145"/>
    <n v="85"/>
    <n v="145"/>
    <n v="3"/>
  </r>
  <r>
    <x v="42"/>
    <x v="40"/>
    <n v="70"/>
    <n v="150"/>
    <n v="140"/>
    <n v="65"/>
    <n v="100"/>
    <n v="75"/>
    <n v="2"/>
  </r>
  <r>
    <x v="43"/>
    <x v="41"/>
    <n v="70"/>
    <n v="140"/>
    <n v="70"/>
    <n v="110"/>
    <n v="65"/>
    <n v="105"/>
    <n v="3"/>
  </r>
  <r>
    <x v="44"/>
    <x v="42"/>
    <n v="95"/>
    <n v="75"/>
    <n v="180"/>
    <n v="130"/>
    <n v="80"/>
    <n v="30"/>
    <n v="1"/>
  </r>
  <r>
    <x v="45"/>
    <x v="43"/>
    <n v="75"/>
    <n v="125"/>
    <n v="230"/>
    <n v="55"/>
    <n v="95"/>
    <n v="30"/>
    <n v="2"/>
  </r>
  <r>
    <x v="46"/>
    <x v="44"/>
    <n v="100"/>
    <n v="150"/>
    <n v="110"/>
    <n v="95"/>
    <n v="110"/>
    <n v="70"/>
    <n v="3"/>
  </r>
  <r>
    <x v="47"/>
    <x v="45"/>
    <n v="100"/>
    <n v="164"/>
    <n v="150"/>
    <n v="95"/>
    <n v="120"/>
    <n v="71"/>
    <n v="2"/>
  </r>
  <r>
    <x v="48"/>
    <x v="46"/>
    <n v="80"/>
    <n v="100"/>
    <n v="123"/>
    <n v="122"/>
    <n v="120"/>
    <n v="80"/>
    <n v="1"/>
  </r>
  <r>
    <x v="49"/>
    <x v="47"/>
    <n v="86"/>
    <n v="76"/>
    <n v="86"/>
    <n v="116"/>
    <n v="56"/>
    <n v="95"/>
    <n v="4"/>
  </r>
  <r>
    <x v="50"/>
    <x v="48"/>
    <n v="3922"/>
    <n v="6217"/>
    <n v="5280"/>
    <n v="5642"/>
    <n v="4926"/>
    <n v="4695"/>
    <n v="1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x v="0"/>
    <x v="0"/>
    <x v="0"/>
    <x v="0"/>
    <n v="318"/>
    <n v="45"/>
    <n v="49"/>
    <n v="49"/>
    <n v="65"/>
    <n v="65"/>
    <n v="45"/>
    <x v="0"/>
    <x v="0"/>
    <x v="0"/>
  </r>
  <r>
    <x v="1"/>
    <x v="1"/>
    <x v="0"/>
    <x v="0"/>
    <n v="405"/>
    <n v="60"/>
    <n v="62"/>
    <n v="63"/>
    <n v="80"/>
    <n v="80"/>
    <n v="60"/>
    <x v="0"/>
    <x v="0"/>
    <x v="0"/>
  </r>
  <r>
    <x v="2"/>
    <x v="2"/>
    <x v="0"/>
    <x v="0"/>
    <n v="525"/>
    <n v="80"/>
    <n v="82"/>
    <n v="83"/>
    <n v="100"/>
    <n v="100"/>
    <n v="80"/>
    <x v="0"/>
    <x v="0"/>
    <x v="0"/>
  </r>
  <r>
    <x v="2"/>
    <x v="3"/>
    <x v="0"/>
    <x v="0"/>
    <n v="625"/>
    <n v="80"/>
    <n v="100"/>
    <n v="123"/>
    <n v="122"/>
    <n v="120"/>
    <n v="80"/>
    <x v="0"/>
    <x v="0"/>
    <x v="1"/>
  </r>
  <r>
    <x v="3"/>
    <x v="4"/>
    <x v="1"/>
    <x v="1"/>
    <n v="309"/>
    <n v="39"/>
    <n v="52"/>
    <n v="43"/>
    <n v="60"/>
    <n v="50"/>
    <n v="65"/>
    <x v="0"/>
    <x v="0"/>
    <x v="0"/>
  </r>
  <r>
    <x v="4"/>
    <x v="5"/>
    <x v="1"/>
    <x v="1"/>
    <n v="405"/>
    <n v="58"/>
    <n v="64"/>
    <n v="58"/>
    <n v="80"/>
    <n v="65"/>
    <n v="80"/>
    <x v="0"/>
    <x v="0"/>
    <x v="0"/>
  </r>
  <r>
    <x v="5"/>
    <x v="6"/>
    <x v="1"/>
    <x v="2"/>
    <n v="534"/>
    <n v="78"/>
    <n v="84"/>
    <n v="78"/>
    <n v="109"/>
    <n v="85"/>
    <n v="100"/>
    <x v="0"/>
    <x v="0"/>
    <x v="0"/>
  </r>
  <r>
    <x v="5"/>
    <x v="7"/>
    <x v="1"/>
    <x v="3"/>
    <n v="634"/>
    <n v="78"/>
    <n v="130"/>
    <n v="111"/>
    <n v="130"/>
    <n v="85"/>
    <n v="100"/>
    <x v="0"/>
    <x v="0"/>
    <x v="1"/>
  </r>
  <r>
    <x v="5"/>
    <x v="8"/>
    <x v="1"/>
    <x v="2"/>
    <n v="634"/>
    <n v="78"/>
    <n v="104"/>
    <n v="78"/>
    <n v="159"/>
    <n v="115"/>
    <n v="100"/>
    <x v="0"/>
    <x v="0"/>
    <x v="1"/>
  </r>
  <r>
    <x v="6"/>
    <x v="9"/>
    <x v="2"/>
    <x v="1"/>
    <n v="314"/>
    <n v="44"/>
    <n v="48"/>
    <n v="65"/>
    <n v="50"/>
    <n v="64"/>
    <n v="43"/>
    <x v="0"/>
    <x v="0"/>
    <x v="0"/>
  </r>
  <r>
    <x v="7"/>
    <x v="10"/>
    <x v="2"/>
    <x v="1"/>
    <n v="405"/>
    <n v="59"/>
    <n v="63"/>
    <n v="80"/>
    <n v="65"/>
    <n v="80"/>
    <n v="58"/>
    <x v="0"/>
    <x v="0"/>
    <x v="0"/>
  </r>
  <r>
    <x v="8"/>
    <x v="11"/>
    <x v="2"/>
    <x v="1"/>
    <n v="530"/>
    <n v="79"/>
    <n v="83"/>
    <n v="100"/>
    <n v="85"/>
    <n v="105"/>
    <n v="78"/>
    <x v="0"/>
    <x v="0"/>
    <x v="0"/>
  </r>
  <r>
    <x v="8"/>
    <x v="12"/>
    <x v="2"/>
    <x v="1"/>
    <n v="630"/>
    <n v="79"/>
    <n v="103"/>
    <n v="120"/>
    <n v="135"/>
    <n v="115"/>
    <n v="78"/>
    <x v="0"/>
    <x v="0"/>
    <x v="1"/>
  </r>
  <r>
    <x v="9"/>
    <x v="13"/>
    <x v="3"/>
    <x v="1"/>
    <n v="195"/>
    <n v="45"/>
    <n v="30"/>
    <n v="35"/>
    <n v="20"/>
    <n v="20"/>
    <n v="45"/>
    <x v="0"/>
    <x v="0"/>
    <x v="0"/>
  </r>
  <r>
    <x v="10"/>
    <x v="14"/>
    <x v="3"/>
    <x v="1"/>
    <n v="205"/>
    <n v="50"/>
    <n v="20"/>
    <n v="55"/>
    <n v="25"/>
    <n v="25"/>
    <n v="30"/>
    <x v="0"/>
    <x v="0"/>
    <x v="0"/>
  </r>
  <r>
    <x v="11"/>
    <x v="15"/>
    <x v="3"/>
    <x v="2"/>
    <n v="395"/>
    <n v="60"/>
    <n v="45"/>
    <n v="50"/>
    <n v="90"/>
    <n v="80"/>
    <n v="70"/>
    <x v="0"/>
    <x v="0"/>
    <x v="0"/>
  </r>
  <r>
    <x v="12"/>
    <x v="16"/>
    <x v="3"/>
    <x v="0"/>
    <n v="195"/>
    <n v="40"/>
    <n v="35"/>
    <n v="30"/>
    <n v="20"/>
    <n v="20"/>
    <n v="50"/>
    <x v="0"/>
    <x v="0"/>
    <x v="0"/>
  </r>
  <r>
    <x v="13"/>
    <x v="17"/>
    <x v="3"/>
    <x v="0"/>
    <n v="205"/>
    <n v="45"/>
    <n v="25"/>
    <n v="50"/>
    <n v="25"/>
    <n v="25"/>
    <n v="35"/>
    <x v="0"/>
    <x v="0"/>
    <x v="0"/>
  </r>
  <r>
    <x v="14"/>
    <x v="18"/>
    <x v="3"/>
    <x v="0"/>
    <n v="395"/>
    <n v="65"/>
    <n v="90"/>
    <n v="40"/>
    <n v="45"/>
    <n v="80"/>
    <n v="75"/>
    <x v="0"/>
    <x v="0"/>
    <x v="0"/>
  </r>
  <r>
    <x v="14"/>
    <x v="19"/>
    <x v="3"/>
    <x v="0"/>
    <n v="495"/>
    <n v="65"/>
    <n v="150"/>
    <n v="40"/>
    <n v="15"/>
    <n v="80"/>
    <n v="145"/>
    <x v="0"/>
    <x v="0"/>
    <x v="1"/>
  </r>
  <r>
    <x v="15"/>
    <x v="20"/>
    <x v="4"/>
    <x v="2"/>
    <n v="251"/>
    <n v="40"/>
    <n v="45"/>
    <n v="40"/>
    <n v="35"/>
    <n v="35"/>
    <n v="56"/>
    <x v="0"/>
    <x v="0"/>
    <x v="0"/>
  </r>
  <r>
    <x v="16"/>
    <x v="21"/>
    <x v="4"/>
    <x v="2"/>
    <n v="349"/>
    <n v="63"/>
    <n v="60"/>
    <n v="55"/>
    <n v="50"/>
    <n v="50"/>
    <n v="71"/>
    <x v="0"/>
    <x v="0"/>
    <x v="0"/>
  </r>
  <r>
    <x v="17"/>
    <x v="22"/>
    <x v="4"/>
    <x v="2"/>
    <n v="579"/>
    <n v="83"/>
    <n v="80"/>
    <n v="80"/>
    <n v="135"/>
    <n v="80"/>
    <n v="121"/>
    <x v="0"/>
    <x v="0"/>
    <x v="1"/>
  </r>
  <r>
    <x v="17"/>
    <x v="23"/>
    <x v="4"/>
    <x v="2"/>
    <n v="479"/>
    <n v="83"/>
    <n v="80"/>
    <n v="75"/>
    <n v="70"/>
    <n v="70"/>
    <n v="101"/>
    <x v="0"/>
    <x v="0"/>
    <x v="0"/>
  </r>
  <r>
    <x v="18"/>
    <x v="24"/>
    <x v="4"/>
    <x v="1"/>
    <n v="253"/>
    <n v="30"/>
    <n v="56"/>
    <n v="35"/>
    <n v="25"/>
    <n v="35"/>
    <n v="72"/>
    <x v="0"/>
    <x v="0"/>
    <x v="0"/>
  </r>
  <r>
    <x v="19"/>
    <x v="25"/>
    <x v="4"/>
    <x v="1"/>
    <n v="413"/>
    <n v="55"/>
    <n v="81"/>
    <n v="60"/>
    <n v="50"/>
    <n v="70"/>
    <n v="97"/>
    <x v="0"/>
    <x v="0"/>
    <x v="0"/>
  </r>
  <r>
    <x v="20"/>
    <x v="26"/>
    <x v="4"/>
    <x v="2"/>
    <n v="262"/>
    <n v="40"/>
    <n v="60"/>
    <n v="30"/>
    <n v="31"/>
    <n v="31"/>
    <n v="70"/>
    <x v="0"/>
    <x v="0"/>
    <x v="0"/>
  </r>
  <r>
    <x v="21"/>
    <x v="27"/>
    <x v="4"/>
    <x v="2"/>
    <n v="442"/>
    <n v="65"/>
    <n v="90"/>
    <n v="65"/>
    <n v="61"/>
    <n v="61"/>
    <n v="100"/>
    <x v="0"/>
    <x v="0"/>
    <x v="0"/>
  </r>
  <r>
    <x v="22"/>
    <x v="28"/>
    <x v="5"/>
    <x v="1"/>
    <n v="288"/>
    <n v="35"/>
    <n v="60"/>
    <n v="44"/>
    <n v="40"/>
    <n v="54"/>
    <n v="55"/>
    <x v="0"/>
    <x v="0"/>
    <x v="0"/>
  </r>
  <r>
    <x v="23"/>
    <x v="29"/>
    <x v="5"/>
    <x v="1"/>
    <n v="438"/>
    <n v="60"/>
    <n v="85"/>
    <n v="69"/>
    <n v="65"/>
    <n v="79"/>
    <n v="80"/>
    <x v="0"/>
    <x v="0"/>
    <x v="0"/>
  </r>
  <r>
    <x v="24"/>
    <x v="30"/>
    <x v="6"/>
    <x v="1"/>
    <n v="320"/>
    <n v="35"/>
    <n v="55"/>
    <n v="40"/>
    <n v="50"/>
    <n v="50"/>
    <n v="90"/>
    <x v="0"/>
    <x v="0"/>
    <x v="0"/>
  </r>
  <r>
    <x v="25"/>
    <x v="31"/>
    <x v="6"/>
    <x v="1"/>
    <n v="485"/>
    <n v="60"/>
    <n v="90"/>
    <n v="55"/>
    <n v="90"/>
    <n v="80"/>
    <n v="110"/>
    <x v="0"/>
    <x v="0"/>
    <x v="0"/>
  </r>
  <r>
    <x v="26"/>
    <x v="32"/>
    <x v="7"/>
    <x v="1"/>
    <n v="300"/>
    <n v="50"/>
    <n v="75"/>
    <n v="85"/>
    <n v="20"/>
    <n v="30"/>
    <n v="40"/>
    <x v="0"/>
    <x v="0"/>
    <x v="0"/>
  </r>
  <r>
    <x v="27"/>
    <x v="33"/>
    <x v="7"/>
    <x v="1"/>
    <n v="450"/>
    <n v="75"/>
    <n v="100"/>
    <n v="110"/>
    <n v="45"/>
    <n v="55"/>
    <n v="65"/>
    <x v="0"/>
    <x v="0"/>
    <x v="0"/>
  </r>
  <r>
    <x v="28"/>
    <x v="34"/>
    <x v="5"/>
    <x v="1"/>
    <n v="275"/>
    <n v="55"/>
    <n v="47"/>
    <n v="52"/>
    <n v="40"/>
    <n v="40"/>
    <n v="41"/>
    <x v="0"/>
    <x v="0"/>
    <x v="0"/>
  </r>
  <r>
    <x v="29"/>
    <x v="35"/>
    <x v="5"/>
    <x v="1"/>
    <n v="365"/>
    <n v="70"/>
    <n v="62"/>
    <n v="67"/>
    <n v="55"/>
    <n v="55"/>
    <n v="56"/>
    <x v="0"/>
    <x v="0"/>
    <x v="0"/>
  </r>
  <r>
    <x v="30"/>
    <x v="36"/>
    <x v="5"/>
    <x v="4"/>
    <n v="505"/>
    <n v="90"/>
    <n v="92"/>
    <n v="87"/>
    <n v="75"/>
    <n v="85"/>
    <n v="76"/>
    <x v="0"/>
    <x v="0"/>
    <x v="0"/>
  </r>
  <r>
    <x v="31"/>
    <x v="37"/>
    <x v="5"/>
    <x v="1"/>
    <n v="273"/>
    <n v="46"/>
    <n v="57"/>
    <n v="40"/>
    <n v="40"/>
    <n v="40"/>
    <n v="50"/>
    <x v="0"/>
    <x v="0"/>
    <x v="0"/>
  </r>
  <r>
    <x v="32"/>
    <x v="38"/>
    <x v="5"/>
    <x v="1"/>
    <n v="365"/>
    <n v="61"/>
    <n v="72"/>
    <n v="57"/>
    <n v="55"/>
    <n v="55"/>
    <n v="65"/>
    <x v="0"/>
    <x v="0"/>
    <x v="0"/>
  </r>
  <r>
    <x v="33"/>
    <x v="39"/>
    <x v="5"/>
    <x v="4"/>
    <n v="505"/>
    <n v="81"/>
    <n v="102"/>
    <n v="77"/>
    <n v="85"/>
    <n v="75"/>
    <n v="85"/>
    <x v="0"/>
    <x v="0"/>
    <x v="0"/>
  </r>
  <r>
    <x v="34"/>
    <x v="40"/>
    <x v="8"/>
    <x v="1"/>
    <n v="323"/>
    <n v="70"/>
    <n v="45"/>
    <n v="48"/>
    <n v="60"/>
    <n v="65"/>
    <n v="35"/>
    <x v="0"/>
    <x v="0"/>
    <x v="0"/>
  </r>
  <r>
    <x v="35"/>
    <x v="41"/>
    <x v="8"/>
    <x v="1"/>
    <n v="483"/>
    <n v="95"/>
    <n v="70"/>
    <n v="73"/>
    <n v="95"/>
    <n v="90"/>
    <n v="60"/>
    <x v="0"/>
    <x v="0"/>
    <x v="0"/>
  </r>
  <r>
    <x v="36"/>
    <x v="42"/>
    <x v="1"/>
    <x v="1"/>
    <n v="299"/>
    <n v="38"/>
    <n v="41"/>
    <n v="40"/>
    <n v="50"/>
    <n v="65"/>
    <n v="65"/>
    <x v="0"/>
    <x v="0"/>
    <x v="0"/>
  </r>
  <r>
    <x v="37"/>
    <x v="43"/>
    <x v="1"/>
    <x v="1"/>
    <n v="505"/>
    <n v="73"/>
    <n v="76"/>
    <n v="75"/>
    <n v="81"/>
    <n v="100"/>
    <n v="100"/>
    <x v="0"/>
    <x v="0"/>
    <x v="0"/>
  </r>
  <r>
    <x v="38"/>
    <x v="44"/>
    <x v="4"/>
    <x v="5"/>
    <n v="270"/>
    <n v="115"/>
    <n v="45"/>
    <n v="20"/>
    <n v="45"/>
    <n v="25"/>
    <n v="20"/>
    <x v="0"/>
    <x v="0"/>
    <x v="0"/>
  </r>
  <r>
    <x v="39"/>
    <x v="45"/>
    <x v="4"/>
    <x v="5"/>
    <n v="435"/>
    <n v="140"/>
    <n v="70"/>
    <n v="45"/>
    <n v="85"/>
    <n v="50"/>
    <n v="45"/>
    <x v="0"/>
    <x v="0"/>
    <x v="0"/>
  </r>
  <r>
    <x v="40"/>
    <x v="46"/>
    <x v="5"/>
    <x v="2"/>
    <n v="245"/>
    <n v="40"/>
    <n v="45"/>
    <n v="35"/>
    <n v="30"/>
    <n v="40"/>
    <n v="55"/>
    <x v="0"/>
    <x v="0"/>
    <x v="0"/>
  </r>
  <r>
    <x v="41"/>
    <x v="47"/>
    <x v="5"/>
    <x v="2"/>
    <n v="455"/>
    <n v="75"/>
    <n v="80"/>
    <n v="70"/>
    <n v="65"/>
    <n v="75"/>
    <n v="90"/>
    <x v="0"/>
    <x v="0"/>
    <x v="0"/>
  </r>
  <r>
    <x v="42"/>
    <x v="48"/>
    <x v="0"/>
    <x v="0"/>
    <n v="320"/>
    <n v="45"/>
    <n v="50"/>
    <n v="55"/>
    <n v="75"/>
    <n v="65"/>
    <n v="30"/>
    <x v="0"/>
    <x v="0"/>
    <x v="0"/>
  </r>
  <r>
    <x v="43"/>
    <x v="49"/>
    <x v="0"/>
    <x v="0"/>
    <n v="395"/>
    <n v="60"/>
    <n v="65"/>
    <n v="70"/>
    <n v="85"/>
    <n v="75"/>
    <n v="40"/>
    <x v="0"/>
    <x v="0"/>
    <x v="0"/>
  </r>
  <r>
    <x v="44"/>
    <x v="50"/>
    <x v="0"/>
    <x v="0"/>
    <n v="490"/>
    <n v="75"/>
    <n v="80"/>
    <n v="85"/>
    <n v="110"/>
    <n v="90"/>
    <n v="50"/>
    <x v="0"/>
    <x v="0"/>
    <x v="0"/>
  </r>
  <r>
    <x v="45"/>
    <x v="51"/>
    <x v="3"/>
    <x v="6"/>
    <n v="285"/>
    <n v="35"/>
    <n v="70"/>
    <n v="55"/>
    <n v="45"/>
    <n v="55"/>
    <n v="25"/>
    <x v="0"/>
    <x v="0"/>
    <x v="0"/>
  </r>
  <r>
    <x v="46"/>
    <x v="52"/>
    <x v="3"/>
    <x v="6"/>
    <n v="405"/>
    <n v="60"/>
    <n v="95"/>
    <n v="80"/>
    <n v="60"/>
    <n v="80"/>
    <n v="30"/>
    <x v="0"/>
    <x v="0"/>
    <x v="0"/>
  </r>
  <r>
    <x v="47"/>
    <x v="53"/>
    <x v="3"/>
    <x v="0"/>
    <n v="305"/>
    <n v="60"/>
    <n v="55"/>
    <n v="50"/>
    <n v="40"/>
    <n v="55"/>
    <n v="45"/>
    <x v="0"/>
    <x v="0"/>
    <x v="0"/>
  </r>
  <r>
    <x v="48"/>
    <x v="54"/>
    <x v="3"/>
    <x v="0"/>
    <n v="450"/>
    <n v="70"/>
    <n v="65"/>
    <n v="60"/>
    <n v="90"/>
    <n v="75"/>
    <n v="90"/>
    <x v="0"/>
    <x v="0"/>
    <x v="0"/>
  </r>
  <r>
    <x v="49"/>
    <x v="55"/>
    <x v="7"/>
    <x v="1"/>
    <n v="265"/>
    <n v="10"/>
    <n v="55"/>
    <n v="25"/>
    <n v="35"/>
    <n v="45"/>
    <n v="95"/>
    <x v="0"/>
    <x v="0"/>
    <x v="0"/>
  </r>
  <r>
    <x v="50"/>
    <x v="56"/>
    <x v="7"/>
    <x v="1"/>
    <n v="405"/>
    <n v="35"/>
    <n v="80"/>
    <n v="50"/>
    <n v="50"/>
    <n v="70"/>
    <n v="120"/>
    <x v="0"/>
    <x v="0"/>
    <x v="0"/>
  </r>
  <r>
    <x v="51"/>
    <x v="57"/>
    <x v="4"/>
    <x v="1"/>
    <n v="290"/>
    <n v="40"/>
    <n v="45"/>
    <n v="35"/>
    <n v="40"/>
    <n v="40"/>
    <n v="90"/>
    <x v="0"/>
    <x v="0"/>
    <x v="0"/>
  </r>
  <r>
    <x v="52"/>
    <x v="58"/>
    <x v="4"/>
    <x v="1"/>
    <n v="440"/>
    <n v="65"/>
    <n v="70"/>
    <n v="60"/>
    <n v="65"/>
    <n v="65"/>
    <n v="115"/>
    <x v="0"/>
    <x v="0"/>
    <x v="0"/>
  </r>
  <r>
    <x v="53"/>
    <x v="59"/>
    <x v="2"/>
    <x v="1"/>
    <n v="320"/>
    <n v="50"/>
    <n v="52"/>
    <n v="48"/>
    <n v="65"/>
    <n v="50"/>
    <n v="55"/>
    <x v="0"/>
    <x v="0"/>
    <x v="0"/>
  </r>
  <r>
    <x v="54"/>
    <x v="60"/>
    <x v="2"/>
    <x v="1"/>
    <n v="500"/>
    <n v="80"/>
    <n v="82"/>
    <n v="78"/>
    <n v="95"/>
    <n v="80"/>
    <n v="85"/>
    <x v="0"/>
    <x v="0"/>
    <x v="0"/>
  </r>
  <r>
    <x v="55"/>
    <x v="61"/>
    <x v="9"/>
    <x v="1"/>
    <n v="305"/>
    <n v="40"/>
    <n v="80"/>
    <n v="35"/>
    <n v="35"/>
    <n v="45"/>
    <n v="70"/>
    <x v="0"/>
    <x v="0"/>
    <x v="0"/>
  </r>
  <r>
    <x v="56"/>
    <x v="62"/>
    <x v="9"/>
    <x v="1"/>
    <n v="455"/>
    <n v="65"/>
    <n v="105"/>
    <n v="60"/>
    <n v="60"/>
    <n v="70"/>
    <n v="95"/>
    <x v="0"/>
    <x v="0"/>
    <x v="0"/>
  </r>
  <r>
    <x v="57"/>
    <x v="63"/>
    <x v="1"/>
    <x v="1"/>
    <n v="350"/>
    <n v="55"/>
    <n v="70"/>
    <n v="45"/>
    <n v="70"/>
    <n v="50"/>
    <n v="60"/>
    <x v="0"/>
    <x v="0"/>
    <x v="0"/>
  </r>
  <r>
    <x v="58"/>
    <x v="64"/>
    <x v="1"/>
    <x v="1"/>
    <n v="555"/>
    <n v="90"/>
    <n v="110"/>
    <n v="80"/>
    <n v="100"/>
    <n v="80"/>
    <n v="95"/>
    <x v="0"/>
    <x v="0"/>
    <x v="0"/>
  </r>
  <r>
    <x v="59"/>
    <x v="65"/>
    <x v="2"/>
    <x v="1"/>
    <n v="300"/>
    <n v="40"/>
    <n v="50"/>
    <n v="40"/>
    <n v="40"/>
    <n v="40"/>
    <n v="90"/>
    <x v="0"/>
    <x v="0"/>
    <x v="0"/>
  </r>
  <r>
    <x v="60"/>
    <x v="66"/>
    <x v="2"/>
    <x v="1"/>
    <n v="385"/>
    <n v="65"/>
    <n v="65"/>
    <n v="65"/>
    <n v="50"/>
    <n v="50"/>
    <n v="90"/>
    <x v="0"/>
    <x v="0"/>
    <x v="0"/>
  </r>
  <r>
    <x v="61"/>
    <x v="67"/>
    <x v="2"/>
    <x v="7"/>
    <n v="510"/>
    <n v="90"/>
    <n v="95"/>
    <n v="95"/>
    <n v="70"/>
    <n v="90"/>
    <n v="70"/>
    <x v="0"/>
    <x v="0"/>
    <x v="0"/>
  </r>
  <r>
    <x v="62"/>
    <x v="68"/>
    <x v="10"/>
    <x v="1"/>
    <n v="310"/>
    <n v="25"/>
    <n v="20"/>
    <n v="15"/>
    <n v="105"/>
    <n v="55"/>
    <n v="90"/>
    <x v="0"/>
    <x v="0"/>
    <x v="0"/>
  </r>
  <r>
    <x v="63"/>
    <x v="69"/>
    <x v="10"/>
    <x v="1"/>
    <n v="400"/>
    <n v="40"/>
    <n v="35"/>
    <n v="30"/>
    <n v="120"/>
    <n v="70"/>
    <n v="105"/>
    <x v="0"/>
    <x v="0"/>
    <x v="0"/>
  </r>
  <r>
    <x v="64"/>
    <x v="70"/>
    <x v="10"/>
    <x v="1"/>
    <n v="500"/>
    <n v="55"/>
    <n v="50"/>
    <n v="45"/>
    <n v="135"/>
    <n v="95"/>
    <n v="120"/>
    <x v="0"/>
    <x v="0"/>
    <x v="0"/>
  </r>
  <r>
    <x v="64"/>
    <x v="71"/>
    <x v="10"/>
    <x v="1"/>
    <n v="590"/>
    <n v="55"/>
    <n v="50"/>
    <n v="65"/>
    <n v="175"/>
    <n v="95"/>
    <n v="150"/>
    <x v="0"/>
    <x v="0"/>
    <x v="1"/>
  </r>
  <r>
    <x v="65"/>
    <x v="72"/>
    <x v="9"/>
    <x v="1"/>
    <n v="305"/>
    <n v="70"/>
    <n v="80"/>
    <n v="50"/>
    <n v="35"/>
    <n v="35"/>
    <n v="35"/>
    <x v="0"/>
    <x v="0"/>
    <x v="0"/>
  </r>
  <r>
    <x v="66"/>
    <x v="73"/>
    <x v="9"/>
    <x v="1"/>
    <n v="405"/>
    <n v="80"/>
    <n v="100"/>
    <n v="70"/>
    <n v="50"/>
    <n v="60"/>
    <n v="45"/>
    <x v="0"/>
    <x v="0"/>
    <x v="0"/>
  </r>
  <r>
    <x v="67"/>
    <x v="74"/>
    <x v="9"/>
    <x v="1"/>
    <n v="505"/>
    <n v="90"/>
    <n v="130"/>
    <n v="80"/>
    <n v="65"/>
    <n v="85"/>
    <n v="55"/>
    <x v="0"/>
    <x v="0"/>
    <x v="0"/>
  </r>
  <r>
    <x v="68"/>
    <x v="75"/>
    <x v="0"/>
    <x v="0"/>
    <n v="300"/>
    <n v="50"/>
    <n v="75"/>
    <n v="35"/>
    <n v="70"/>
    <n v="30"/>
    <n v="40"/>
    <x v="0"/>
    <x v="0"/>
    <x v="0"/>
  </r>
  <r>
    <x v="69"/>
    <x v="76"/>
    <x v="0"/>
    <x v="0"/>
    <n v="390"/>
    <n v="65"/>
    <n v="90"/>
    <n v="50"/>
    <n v="85"/>
    <n v="45"/>
    <n v="55"/>
    <x v="0"/>
    <x v="0"/>
    <x v="0"/>
  </r>
  <r>
    <x v="70"/>
    <x v="77"/>
    <x v="0"/>
    <x v="0"/>
    <n v="490"/>
    <n v="80"/>
    <n v="105"/>
    <n v="65"/>
    <n v="100"/>
    <n v="70"/>
    <n v="70"/>
    <x v="0"/>
    <x v="0"/>
    <x v="0"/>
  </r>
  <r>
    <x v="71"/>
    <x v="78"/>
    <x v="2"/>
    <x v="0"/>
    <n v="335"/>
    <n v="40"/>
    <n v="40"/>
    <n v="35"/>
    <n v="50"/>
    <n v="100"/>
    <n v="70"/>
    <x v="0"/>
    <x v="0"/>
    <x v="0"/>
  </r>
  <r>
    <x v="72"/>
    <x v="79"/>
    <x v="2"/>
    <x v="0"/>
    <n v="515"/>
    <n v="80"/>
    <n v="70"/>
    <n v="65"/>
    <n v="80"/>
    <n v="120"/>
    <n v="100"/>
    <x v="0"/>
    <x v="0"/>
    <x v="0"/>
  </r>
  <r>
    <x v="73"/>
    <x v="80"/>
    <x v="11"/>
    <x v="4"/>
    <n v="300"/>
    <n v="40"/>
    <n v="80"/>
    <n v="100"/>
    <n v="30"/>
    <n v="30"/>
    <n v="20"/>
    <x v="0"/>
    <x v="0"/>
    <x v="0"/>
  </r>
  <r>
    <x v="74"/>
    <x v="81"/>
    <x v="11"/>
    <x v="4"/>
    <n v="390"/>
    <n v="55"/>
    <n v="95"/>
    <n v="115"/>
    <n v="45"/>
    <n v="45"/>
    <n v="35"/>
    <x v="0"/>
    <x v="0"/>
    <x v="0"/>
  </r>
  <r>
    <x v="75"/>
    <x v="82"/>
    <x v="11"/>
    <x v="4"/>
    <n v="495"/>
    <n v="80"/>
    <n v="120"/>
    <n v="130"/>
    <n v="55"/>
    <n v="65"/>
    <n v="45"/>
    <x v="0"/>
    <x v="0"/>
    <x v="0"/>
  </r>
  <r>
    <x v="76"/>
    <x v="83"/>
    <x v="1"/>
    <x v="1"/>
    <n v="410"/>
    <n v="50"/>
    <n v="85"/>
    <n v="55"/>
    <n v="65"/>
    <n v="65"/>
    <n v="90"/>
    <x v="0"/>
    <x v="0"/>
    <x v="0"/>
  </r>
  <r>
    <x v="77"/>
    <x v="84"/>
    <x v="1"/>
    <x v="1"/>
    <n v="500"/>
    <n v="65"/>
    <n v="100"/>
    <n v="70"/>
    <n v="80"/>
    <n v="80"/>
    <n v="105"/>
    <x v="0"/>
    <x v="0"/>
    <x v="0"/>
  </r>
  <r>
    <x v="78"/>
    <x v="85"/>
    <x v="2"/>
    <x v="8"/>
    <n v="315"/>
    <n v="90"/>
    <n v="65"/>
    <n v="65"/>
    <n v="40"/>
    <n v="40"/>
    <n v="15"/>
    <x v="0"/>
    <x v="0"/>
    <x v="0"/>
  </r>
  <r>
    <x v="79"/>
    <x v="86"/>
    <x v="2"/>
    <x v="8"/>
    <n v="490"/>
    <n v="95"/>
    <n v="75"/>
    <n v="110"/>
    <n v="100"/>
    <n v="80"/>
    <n v="30"/>
    <x v="0"/>
    <x v="0"/>
    <x v="0"/>
  </r>
  <r>
    <x v="79"/>
    <x v="87"/>
    <x v="2"/>
    <x v="8"/>
    <n v="590"/>
    <n v="95"/>
    <n v="75"/>
    <n v="180"/>
    <n v="130"/>
    <n v="80"/>
    <n v="30"/>
    <x v="0"/>
    <x v="0"/>
    <x v="1"/>
  </r>
  <r>
    <x v="80"/>
    <x v="88"/>
    <x v="6"/>
    <x v="9"/>
    <n v="325"/>
    <n v="25"/>
    <n v="35"/>
    <n v="70"/>
    <n v="95"/>
    <n v="55"/>
    <n v="45"/>
    <x v="0"/>
    <x v="0"/>
    <x v="0"/>
  </r>
  <r>
    <x v="81"/>
    <x v="89"/>
    <x v="6"/>
    <x v="9"/>
    <n v="465"/>
    <n v="50"/>
    <n v="60"/>
    <n v="95"/>
    <n v="120"/>
    <n v="70"/>
    <n v="70"/>
    <x v="0"/>
    <x v="0"/>
    <x v="0"/>
  </r>
  <r>
    <x v="82"/>
    <x v="90"/>
    <x v="4"/>
    <x v="2"/>
    <n v="352"/>
    <n v="52"/>
    <n v="65"/>
    <n v="55"/>
    <n v="58"/>
    <n v="62"/>
    <n v="60"/>
    <x v="0"/>
    <x v="0"/>
    <x v="0"/>
  </r>
  <r>
    <x v="83"/>
    <x v="91"/>
    <x v="4"/>
    <x v="2"/>
    <n v="310"/>
    <n v="35"/>
    <n v="85"/>
    <n v="45"/>
    <n v="35"/>
    <n v="35"/>
    <n v="75"/>
    <x v="0"/>
    <x v="0"/>
    <x v="0"/>
  </r>
  <r>
    <x v="84"/>
    <x v="92"/>
    <x v="4"/>
    <x v="2"/>
    <n v="460"/>
    <n v="60"/>
    <n v="110"/>
    <n v="70"/>
    <n v="60"/>
    <n v="60"/>
    <n v="100"/>
    <x v="0"/>
    <x v="0"/>
    <x v="0"/>
  </r>
  <r>
    <x v="85"/>
    <x v="93"/>
    <x v="2"/>
    <x v="1"/>
    <n v="325"/>
    <n v="65"/>
    <n v="45"/>
    <n v="55"/>
    <n v="45"/>
    <n v="70"/>
    <n v="45"/>
    <x v="0"/>
    <x v="0"/>
    <x v="0"/>
  </r>
  <r>
    <x v="86"/>
    <x v="94"/>
    <x v="2"/>
    <x v="10"/>
    <n v="475"/>
    <n v="90"/>
    <n v="70"/>
    <n v="80"/>
    <n v="70"/>
    <n v="95"/>
    <n v="70"/>
    <x v="0"/>
    <x v="0"/>
    <x v="0"/>
  </r>
  <r>
    <x v="87"/>
    <x v="95"/>
    <x v="5"/>
    <x v="1"/>
    <n v="325"/>
    <n v="80"/>
    <n v="80"/>
    <n v="50"/>
    <n v="40"/>
    <n v="50"/>
    <n v="25"/>
    <x v="0"/>
    <x v="0"/>
    <x v="0"/>
  </r>
  <r>
    <x v="88"/>
    <x v="96"/>
    <x v="5"/>
    <x v="1"/>
    <n v="500"/>
    <n v="105"/>
    <n v="105"/>
    <n v="75"/>
    <n v="65"/>
    <n v="100"/>
    <n v="50"/>
    <x v="0"/>
    <x v="0"/>
    <x v="0"/>
  </r>
  <r>
    <x v="89"/>
    <x v="97"/>
    <x v="2"/>
    <x v="1"/>
    <n v="305"/>
    <n v="30"/>
    <n v="65"/>
    <n v="100"/>
    <n v="45"/>
    <n v="25"/>
    <n v="40"/>
    <x v="0"/>
    <x v="0"/>
    <x v="0"/>
  </r>
  <r>
    <x v="90"/>
    <x v="98"/>
    <x v="2"/>
    <x v="10"/>
    <n v="525"/>
    <n v="50"/>
    <n v="95"/>
    <n v="180"/>
    <n v="85"/>
    <n v="45"/>
    <n v="70"/>
    <x v="0"/>
    <x v="0"/>
    <x v="0"/>
  </r>
  <r>
    <x v="91"/>
    <x v="99"/>
    <x v="12"/>
    <x v="0"/>
    <n v="310"/>
    <n v="30"/>
    <n v="35"/>
    <n v="30"/>
    <n v="100"/>
    <n v="35"/>
    <n v="80"/>
    <x v="0"/>
    <x v="0"/>
    <x v="0"/>
  </r>
  <r>
    <x v="92"/>
    <x v="100"/>
    <x v="12"/>
    <x v="0"/>
    <n v="405"/>
    <n v="45"/>
    <n v="50"/>
    <n v="45"/>
    <n v="115"/>
    <n v="55"/>
    <n v="95"/>
    <x v="0"/>
    <x v="0"/>
    <x v="0"/>
  </r>
  <r>
    <x v="93"/>
    <x v="101"/>
    <x v="12"/>
    <x v="0"/>
    <n v="600"/>
    <n v="60"/>
    <n v="65"/>
    <n v="80"/>
    <n v="170"/>
    <n v="95"/>
    <n v="130"/>
    <x v="0"/>
    <x v="0"/>
    <x v="1"/>
  </r>
  <r>
    <x v="93"/>
    <x v="102"/>
    <x v="12"/>
    <x v="0"/>
    <n v="500"/>
    <n v="60"/>
    <n v="65"/>
    <n v="60"/>
    <n v="130"/>
    <n v="75"/>
    <n v="110"/>
    <x v="0"/>
    <x v="0"/>
    <x v="0"/>
  </r>
  <r>
    <x v="94"/>
    <x v="103"/>
    <x v="11"/>
    <x v="4"/>
    <n v="385"/>
    <n v="35"/>
    <n v="45"/>
    <n v="160"/>
    <n v="30"/>
    <n v="45"/>
    <n v="70"/>
    <x v="0"/>
    <x v="0"/>
    <x v="0"/>
  </r>
  <r>
    <x v="95"/>
    <x v="104"/>
    <x v="10"/>
    <x v="1"/>
    <n v="328"/>
    <n v="60"/>
    <n v="48"/>
    <n v="45"/>
    <n v="43"/>
    <n v="90"/>
    <n v="42"/>
    <x v="0"/>
    <x v="0"/>
    <x v="0"/>
  </r>
  <r>
    <x v="96"/>
    <x v="105"/>
    <x v="10"/>
    <x v="1"/>
    <n v="483"/>
    <n v="85"/>
    <n v="73"/>
    <n v="70"/>
    <n v="73"/>
    <n v="115"/>
    <n v="67"/>
    <x v="0"/>
    <x v="0"/>
    <x v="0"/>
  </r>
  <r>
    <x v="97"/>
    <x v="106"/>
    <x v="2"/>
    <x v="1"/>
    <n v="325"/>
    <n v="30"/>
    <n v="105"/>
    <n v="90"/>
    <n v="25"/>
    <n v="25"/>
    <n v="50"/>
    <x v="0"/>
    <x v="0"/>
    <x v="0"/>
  </r>
  <r>
    <x v="98"/>
    <x v="107"/>
    <x v="2"/>
    <x v="1"/>
    <n v="475"/>
    <n v="55"/>
    <n v="130"/>
    <n v="115"/>
    <n v="50"/>
    <n v="50"/>
    <n v="75"/>
    <x v="0"/>
    <x v="0"/>
    <x v="0"/>
  </r>
  <r>
    <x v="99"/>
    <x v="108"/>
    <x v="6"/>
    <x v="1"/>
    <n v="330"/>
    <n v="40"/>
    <n v="30"/>
    <n v="50"/>
    <n v="55"/>
    <n v="55"/>
    <n v="100"/>
    <x v="0"/>
    <x v="0"/>
    <x v="0"/>
  </r>
  <r>
    <x v="100"/>
    <x v="109"/>
    <x v="6"/>
    <x v="1"/>
    <n v="480"/>
    <n v="60"/>
    <n v="50"/>
    <n v="70"/>
    <n v="80"/>
    <n v="80"/>
    <n v="140"/>
    <x v="0"/>
    <x v="0"/>
    <x v="0"/>
  </r>
  <r>
    <x v="101"/>
    <x v="110"/>
    <x v="0"/>
    <x v="8"/>
    <n v="325"/>
    <n v="60"/>
    <n v="40"/>
    <n v="80"/>
    <n v="60"/>
    <n v="45"/>
    <n v="40"/>
    <x v="0"/>
    <x v="0"/>
    <x v="0"/>
  </r>
  <r>
    <x v="102"/>
    <x v="111"/>
    <x v="0"/>
    <x v="8"/>
    <n v="520"/>
    <n v="95"/>
    <n v="95"/>
    <n v="85"/>
    <n v="125"/>
    <n v="65"/>
    <n v="55"/>
    <x v="0"/>
    <x v="0"/>
    <x v="0"/>
  </r>
  <r>
    <x v="103"/>
    <x v="112"/>
    <x v="7"/>
    <x v="1"/>
    <n v="320"/>
    <n v="50"/>
    <n v="50"/>
    <n v="95"/>
    <n v="40"/>
    <n v="50"/>
    <n v="35"/>
    <x v="0"/>
    <x v="0"/>
    <x v="0"/>
  </r>
  <r>
    <x v="104"/>
    <x v="113"/>
    <x v="7"/>
    <x v="1"/>
    <n v="425"/>
    <n v="60"/>
    <n v="80"/>
    <n v="110"/>
    <n v="50"/>
    <n v="80"/>
    <n v="45"/>
    <x v="0"/>
    <x v="0"/>
    <x v="0"/>
  </r>
  <r>
    <x v="105"/>
    <x v="114"/>
    <x v="9"/>
    <x v="1"/>
    <n v="455"/>
    <n v="50"/>
    <n v="120"/>
    <n v="53"/>
    <n v="35"/>
    <n v="110"/>
    <n v="87"/>
    <x v="0"/>
    <x v="0"/>
    <x v="0"/>
  </r>
  <r>
    <x v="106"/>
    <x v="115"/>
    <x v="9"/>
    <x v="1"/>
    <n v="455"/>
    <n v="50"/>
    <n v="105"/>
    <n v="79"/>
    <n v="35"/>
    <n v="110"/>
    <n v="76"/>
    <x v="0"/>
    <x v="0"/>
    <x v="0"/>
  </r>
  <r>
    <x v="107"/>
    <x v="116"/>
    <x v="4"/>
    <x v="1"/>
    <n v="385"/>
    <n v="90"/>
    <n v="55"/>
    <n v="75"/>
    <n v="60"/>
    <n v="75"/>
    <n v="30"/>
    <x v="0"/>
    <x v="0"/>
    <x v="0"/>
  </r>
  <r>
    <x v="108"/>
    <x v="117"/>
    <x v="5"/>
    <x v="1"/>
    <n v="340"/>
    <n v="40"/>
    <n v="65"/>
    <n v="95"/>
    <n v="60"/>
    <n v="45"/>
    <n v="35"/>
    <x v="0"/>
    <x v="0"/>
    <x v="0"/>
  </r>
  <r>
    <x v="109"/>
    <x v="118"/>
    <x v="5"/>
    <x v="1"/>
    <n v="490"/>
    <n v="65"/>
    <n v="90"/>
    <n v="120"/>
    <n v="85"/>
    <n v="70"/>
    <n v="60"/>
    <x v="0"/>
    <x v="0"/>
    <x v="0"/>
  </r>
  <r>
    <x v="110"/>
    <x v="119"/>
    <x v="7"/>
    <x v="11"/>
    <n v="345"/>
    <n v="80"/>
    <n v="85"/>
    <n v="95"/>
    <n v="30"/>
    <n v="30"/>
    <n v="25"/>
    <x v="0"/>
    <x v="0"/>
    <x v="0"/>
  </r>
  <r>
    <x v="111"/>
    <x v="120"/>
    <x v="7"/>
    <x v="11"/>
    <n v="485"/>
    <n v="105"/>
    <n v="130"/>
    <n v="120"/>
    <n v="45"/>
    <n v="45"/>
    <n v="40"/>
    <x v="0"/>
    <x v="0"/>
    <x v="0"/>
  </r>
  <r>
    <x v="112"/>
    <x v="121"/>
    <x v="4"/>
    <x v="1"/>
    <n v="450"/>
    <n v="250"/>
    <n v="5"/>
    <n v="5"/>
    <n v="35"/>
    <n v="105"/>
    <n v="50"/>
    <x v="0"/>
    <x v="0"/>
    <x v="0"/>
  </r>
  <r>
    <x v="113"/>
    <x v="122"/>
    <x v="0"/>
    <x v="1"/>
    <n v="435"/>
    <n v="65"/>
    <n v="55"/>
    <n v="115"/>
    <n v="100"/>
    <n v="40"/>
    <n v="60"/>
    <x v="0"/>
    <x v="0"/>
    <x v="0"/>
  </r>
  <r>
    <x v="114"/>
    <x v="123"/>
    <x v="4"/>
    <x v="1"/>
    <n v="490"/>
    <n v="105"/>
    <n v="95"/>
    <n v="80"/>
    <n v="40"/>
    <n v="80"/>
    <n v="90"/>
    <x v="0"/>
    <x v="0"/>
    <x v="0"/>
  </r>
  <r>
    <x v="114"/>
    <x v="124"/>
    <x v="4"/>
    <x v="1"/>
    <n v="590"/>
    <n v="105"/>
    <n v="125"/>
    <n v="100"/>
    <n v="60"/>
    <n v="100"/>
    <n v="100"/>
    <x v="0"/>
    <x v="0"/>
    <x v="1"/>
  </r>
  <r>
    <x v="115"/>
    <x v="125"/>
    <x v="2"/>
    <x v="1"/>
    <n v="295"/>
    <n v="30"/>
    <n v="40"/>
    <n v="70"/>
    <n v="70"/>
    <n v="25"/>
    <n v="60"/>
    <x v="0"/>
    <x v="0"/>
    <x v="0"/>
  </r>
  <r>
    <x v="116"/>
    <x v="126"/>
    <x v="2"/>
    <x v="1"/>
    <n v="440"/>
    <n v="55"/>
    <n v="65"/>
    <n v="95"/>
    <n v="95"/>
    <n v="45"/>
    <n v="85"/>
    <x v="0"/>
    <x v="0"/>
    <x v="0"/>
  </r>
  <r>
    <x v="117"/>
    <x v="127"/>
    <x v="2"/>
    <x v="1"/>
    <n v="320"/>
    <n v="45"/>
    <n v="67"/>
    <n v="60"/>
    <n v="35"/>
    <n v="50"/>
    <n v="63"/>
    <x v="0"/>
    <x v="0"/>
    <x v="0"/>
  </r>
  <r>
    <x v="118"/>
    <x v="128"/>
    <x v="2"/>
    <x v="1"/>
    <n v="450"/>
    <n v="80"/>
    <n v="92"/>
    <n v="65"/>
    <n v="65"/>
    <n v="80"/>
    <n v="68"/>
    <x v="0"/>
    <x v="0"/>
    <x v="0"/>
  </r>
  <r>
    <x v="119"/>
    <x v="129"/>
    <x v="2"/>
    <x v="1"/>
    <n v="340"/>
    <n v="30"/>
    <n v="45"/>
    <n v="55"/>
    <n v="70"/>
    <n v="55"/>
    <n v="85"/>
    <x v="0"/>
    <x v="0"/>
    <x v="0"/>
  </r>
  <r>
    <x v="120"/>
    <x v="130"/>
    <x v="2"/>
    <x v="8"/>
    <n v="520"/>
    <n v="60"/>
    <n v="75"/>
    <n v="85"/>
    <n v="100"/>
    <n v="85"/>
    <n v="115"/>
    <x v="0"/>
    <x v="0"/>
    <x v="0"/>
  </r>
  <r>
    <x v="121"/>
    <x v="131"/>
    <x v="10"/>
    <x v="5"/>
    <n v="460"/>
    <n v="40"/>
    <n v="45"/>
    <n v="65"/>
    <n v="100"/>
    <n v="120"/>
    <n v="90"/>
    <x v="0"/>
    <x v="0"/>
    <x v="0"/>
  </r>
  <r>
    <x v="122"/>
    <x v="132"/>
    <x v="3"/>
    <x v="2"/>
    <n v="500"/>
    <n v="70"/>
    <n v="110"/>
    <n v="80"/>
    <n v="55"/>
    <n v="80"/>
    <n v="105"/>
    <x v="0"/>
    <x v="0"/>
    <x v="0"/>
  </r>
  <r>
    <x v="123"/>
    <x v="133"/>
    <x v="13"/>
    <x v="8"/>
    <n v="455"/>
    <n v="65"/>
    <n v="50"/>
    <n v="35"/>
    <n v="115"/>
    <n v="95"/>
    <n v="95"/>
    <x v="0"/>
    <x v="0"/>
    <x v="0"/>
  </r>
  <r>
    <x v="124"/>
    <x v="134"/>
    <x v="6"/>
    <x v="1"/>
    <n v="490"/>
    <n v="65"/>
    <n v="83"/>
    <n v="57"/>
    <n v="95"/>
    <n v="85"/>
    <n v="105"/>
    <x v="0"/>
    <x v="0"/>
    <x v="0"/>
  </r>
  <r>
    <x v="125"/>
    <x v="135"/>
    <x v="1"/>
    <x v="1"/>
    <n v="495"/>
    <n v="65"/>
    <n v="95"/>
    <n v="57"/>
    <n v="100"/>
    <n v="85"/>
    <n v="93"/>
    <x v="0"/>
    <x v="0"/>
    <x v="0"/>
  </r>
  <r>
    <x v="126"/>
    <x v="136"/>
    <x v="3"/>
    <x v="2"/>
    <n v="600"/>
    <n v="65"/>
    <n v="155"/>
    <n v="120"/>
    <n v="65"/>
    <n v="90"/>
    <n v="105"/>
    <x v="0"/>
    <x v="0"/>
    <x v="1"/>
  </r>
  <r>
    <x v="126"/>
    <x v="137"/>
    <x v="3"/>
    <x v="1"/>
    <n v="500"/>
    <n v="65"/>
    <n v="125"/>
    <n v="100"/>
    <n v="55"/>
    <n v="70"/>
    <n v="85"/>
    <x v="0"/>
    <x v="0"/>
    <x v="0"/>
  </r>
  <r>
    <x v="127"/>
    <x v="138"/>
    <x v="4"/>
    <x v="1"/>
    <n v="490"/>
    <n v="75"/>
    <n v="100"/>
    <n v="95"/>
    <n v="40"/>
    <n v="70"/>
    <n v="110"/>
    <x v="0"/>
    <x v="0"/>
    <x v="0"/>
  </r>
  <r>
    <x v="128"/>
    <x v="139"/>
    <x v="2"/>
    <x v="1"/>
    <n v="200"/>
    <n v="20"/>
    <n v="10"/>
    <n v="55"/>
    <n v="15"/>
    <n v="20"/>
    <n v="80"/>
    <x v="0"/>
    <x v="0"/>
    <x v="0"/>
  </r>
  <r>
    <x v="129"/>
    <x v="140"/>
    <x v="2"/>
    <x v="12"/>
    <n v="640"/>
    <n v="95"/>
    <n v="155"/>
    <n v="109"/>
    <n v="70"/>
    <n v="130"/>
    <n v="81"/>
    <x v="0"/>
    <x v="0"/>
    <x v="1"/>
  </r>
  <r>
    <x v="129"/>
    <x v="141"/>
    <x v="2"/>
    <x v="2"/>
    <n v="540"/>
    <n v="95"/>
    <n v="125"/>
    <n v="79"/>
    <n v="60"/>
    <n v="100"/>
    <n v="81"/>
    <x v="0"/>
    <x v="0"/>
    <x v="0"/>
  </r>
  <r>
    <x v="130"/>
    <x v="142"/>
    <x v="2"/>
    <x v="10"/>
    <n v="535"/>
    <n v="130"/>
    <n v="85"/>
    <n v="80"/>
    <n v="85"/>
    <n v="95"/>
    <n v="60"/>
    <x v="0"/>
    <x v="0"/>
    <x v="0"/>
  </r>
  <r>
    <x v="131"/>
    <x v="143"/>
    <x v="4"/>
    <x v="1"/>
    <n v="288"/>
    <n v="48"/>
    <n v="48"/>
    <n v="48"/>
    <n v="48"/>
    <n v="48"/>
    <n v="48"/>
    <x v="0"/>
    <x v="0"/>
    <x v="0"/>
  </r>
  <r>
    <x v="132"/>
    <x v="144"/>
    <x v="4"/>
    <x v="1"/>
    <n v="325"/>
    <n v="55"/>
    <n v="55"/>
    <n v="50"/>
    <n v="45"/>
    <n v="65"/>
    <n v="55"/>
    <x v="0"/>
    <x v="0"/>
    <x v="0"/>
  </r>
  <r>
    <x v="133"/>
    <x v="145"/>
    <x v="2"/>
    <x v="1"/>
    <n v="525"/>
    <n v="130"/>
    <n v="65"/>
    <n v="60"/>
    <n v="110"/>
    <n v="95"/>
    <n v="65"/>
    <x v="0"/>
    <x v="0"/>
    <x v="0"/>
  </r>
  <r>
    <x v="134"/>
    <x v="146"/>
    <x v="6"/>
    <x v="1"/>
    <n v="525"/>
    <n v="65"/>
    <n v="65"/>
    <n v="60"/>
    <n v="110"/>
    <n v="95"/>
    <n v="130"/>
    <x v="0"/>
    <x v="0"/>
    <x v="0"/>
  </r>
  <r>
    <x v="135"/>
    <x v="147"/>
    <x v="1"/>
    <x v="1"/>
    <n v="525"/>
    <n v="65"/>
    <n v="130"/>
    <n v="60"/>
    <n v="95"/>
    <n v="110"/>
    <n v="65"/>
    <x v="0"/>
    <x v="0"/>
    <x v="0"/>
  </r>
  <r>
    <x v="136"/>
    <x v="148"/>
    <x v="4"/>
    <x v="1"/>
    <n v="395"/>
    <n v="65"/>
    <n v="60"/>
    <n v="70"/>
    <n v="85"/>
    <n v="75"/>
    <n v="40"/>
    <x v="0"/>
    <x v="0"/>
    <x v="0"/>
  </r>
  <r>
    <x v="137"/>
    <x v="149"/>
    <x v="11"/>
    <x v="13"/>
    <n v="355"/>
    <n v="35"/>
    <n v="40"/>
    <n v="100"/>
    <n v="90"/>
    <n v="55"/>
    <n v="35"/>
    <x v="0"/>
    <x v="0"/>
    <x v="0"/>
  </r>
  <r>
    <x v="138"/>
    <x v="150"/>
    <x v="11"/>
    <x v="13"/>
    <n v="495"/>
    <n v="70"/>
    <n v="60"/>
    <n v="125"/>
    <n v="115"/>
    <n v="70"/>
    <n v="55"/>
    <x v="0"/>
    <x v="0"/>
    <x v="0"/>
  </r>
  <r>
    <x v="139"/>
    <x v="151"/>
    <x v="11"/>
    <x v="13"/>
    <n v="355"/>
    <n v="30"/>
    <n v="80"/>
    <n v="90"/>
    <n v="55"/>
    <n v="45"/>
    <n v="55"/>
    <x v="0"/>
    <x v="0"/>
    <x v="0"/>
  </r>
  <r>
    <x v="140"/>
    <x v="152"/>
    <x v="11"/>
    <x v="13"/>
    <n v="495"/>
    <n v="60"/>
    <n v="115"/>
    <n v="105"/>
    <n v="65"/>
    <n v="70"/>
    <n v="80"/>
    <x v="0"/>
    <x v="0"/>
    <x v="0"/>
  </r>
  <r>
    <x v="141"/>
    <x v="153"/>
    <x v="11"/>
    <x v="2"/>
    <n v="615"/>
    <n v="80"/>
    <n v="135"/>
    <n v="85"/>
    <n v="70"/>
    <n v="95"/>
    <n v="150"/>
    <x v="0"/>
    <x v="0"/>
    <x v="1"/>
  </r>
  <r>
    <x v="141"/>
    <x v="154"/>
    <x v="11"/>
    <x v="2"/>
    <n v="515"/>
    <n v="80"/>
    <n v="105"/>
    <n v="65"/>
    <n v="60"/>
    <n v="75"/>
    <n v="130"/>
    <x v="0"/>
    <x v="0"/>
    <x v="0"/>
  </r>
  <r>
    <x v="142"/>
    <x v="155"/>
    <x v="4"/>
    <x v="1"/>
    <n v="540"/>
    <n v="160"/>
    <n v="110"/>
    <n v="65"/>
    <n v="65"/>
    <n v="110"/>
    <n v="30"/>
    <x v="0"/>
    <x v="0"/>
    <x v="0"/>
  </r>
  <r>
    <x v="143"/>
    <x v="156"/>
    <x v="13"/>
    <x v="2"/>
    <n v="580"/>
    <n v="90"/>
    <n v="85"/>
    <n v="100"/>
    <n v="95"/>
    <n v="125"/>
    <n v="85"/>
    <x v="0"/>
    <x v="1"/>
    <x v="0"/>
  </r>
  <r>
    <x v="144"/>
    <x v="157"/>
    <x v="6"/>
    <x v="2"/>
    <n v="580"/>
    <n v="90"/>
    <n v="90"/>
    <n v="85"/>
    <n v="125"/>
    <n v="90"/>
    <n v="100"/>
    <x v="0"/>
    <x v="1"/>
    <x v="0"/>
  </r>
  <r>
    <x v="145"/>
    <x v="158"/>
    <x v="1"/>
    <x v="2"/>
    <n v="580"/>
    <n v="90"/>
    <n v="100"/>
    <n v="90"/>
    <n v="125"/>
    <n v="85"/>
    <n v="90"/>
    <x v="0"/>
    <x v="1"/>
    <x v="0"/>
  </r>
  <r>
    <x v="146"/>
    <x v="159"/>
    <x v="14"/>
    <x v="1"/>
    <n v="300"/>
    <n v="41"/>
    <n v="64"/>
    <n v="45"/>
    <n v="50"/>
    <n v="50"/>
    <n v="50"/>
    <x v="0"/>
    <x v="0"/>
    <x v="0"/>
  </r>
  <r>
    <x v="147"/>
    <x v="160"/>
    <x v="14"/>
    <x v="1"/>
    <n v="420"/>
    <n v="61"/>
    <n v="84"/>
    <n v="65"/>
    <n v="70"/>
    <n v="70"/>
    <n v="70"/>
    <x v="0"/>
    <x v="0"/>
    <x v="0"/>
  </r>
  <r>
    <x v="148"/>
    <x v="161"/>
    <x v="14"/>
    <x v="2"/>
    <n v="600"/>
    <n v="91"/>
    <n v="134"/>
    <n v="95"/>
    <n v="100"/>
    <n v="100"/>
    <n v="80"/>
    <x v="0"/>
    <x v="0"/>
    <x v="0"/>
  </r>
  <r>
    <x v="149"/>
    <x v="162"/>
    <x v="10"/>
    <x v="7"/>
    <n v="780"/>
    <n v="106"/>
    <n v="190"/>
    <n v="100"/>
    <n v="154"/>
    <n v="100"/>
    <n v="130"/>
    <x v="0"/>
    <x v="1"/>
    <x v="1"/>
  </r>
  <r>
    <x v="149"/>
    <x v="163"/>
    <x v="10"/>
    <x v="1"/>
    <n v="780"/>
    <n v="106"/>
    <n v="150"/>
    <n v="70"/>
    <n v="194"/>
    <n v="120"/>
    <n v="140"/>
    <x v="0"/>
    <x v="1"/>
    <x v="1"/>
  </r>
  <r>
    <x v="149"/>
    <x v="164"/>
    <x v="10"/>
    <x v="1"/>
    <n v="680"/>
    <n v="106"/>
    <n v="110"/>
    <n v="90"/>
    <n v="154"/>
    <n v="90"/>
    <n v="130"/>
    <x v="0"/>
    <x v="1"/>
    <x v="0"/>
  </r>
  <r>
    <x v="150"/>
    <x v="165"/>
    <x v="10"/>
    <x v="1"/>
    <n v="600"/>
    <n v="100"/>
    <n v="100"/>
    <n v="100"/>
    <n v="100"/>
    <n v="100"/>
    <n v="100"/>
    <x v="0"/>
    <x v="0"/>
    <x v="0"/>
  </r>
  <r>
    <x v="151"/>
    <x v="166"/>
    <x v="0"/>
    <x v="1"/>
    <n v="318"/>
    <n v="45"/>
    <n v="49"/>
    <n v="65"/>
    <n v="49"/>
    <n v="65"/>
    <n v="45"/>
    <x v="1"/>
    <x v="0"/>
    <x v="0"/>
  </r>
  <r>
    <x v="152"/>
    <x v="167"/>
    <x v="0"/>
    <x v="1"/>
    <n v="405"/>
    <n v="60"/>
    <n v="62"/>
    <n v="80"/>
    <n v="63"/>
    <n v="80"/>
    <n v="60"/>
    <x v="1"/>
    <x v="0"/>
    <x v="0"/>
  </r>
  <r>
    <x v="153"/>
    <x v="168"/>
    <x v="0"/>
    <x v="1"/>
    <n v="525"/>
    <n v="80"/>
    <n v="82"/>
    <n v="100"/>
    <n v="83"/>
    <n v="100"/>
    <n v="80"/>
    <x v="1"/>
    <x v="0"/>
    <x v="1"/>
  </r>
  <r>
    <x v="154"/>
    <x v="169"/>
    <x v="1"/>
    <x v="1"/>
    <n v="309"/>
    <n v="39"/>
    <n v="52"/>
    <n v="43"/>
    <n v="60"/>
    <n v="50"/>
    <n v="65"/>
    <x v="1"/>
    <x v="0"/>
    <x v="0"/>
  </r>
  <r>
    <x v="155"/>
    <x v="170"/>
    <x v="1"/>
    <x v="1"/>
    <n v="405"/>
    <n v="58"/>
    <n v="64"/>
    <n v="58"/>
    <n v="80"/>
    <n v="65"/>
    <n v="80"/>
    <x v="1"/>
    <x v="0"/>
    <x v="0"/>
  </r>
  <r>
    <x v="156"/>
    <x v="171"/>
    <x v="1"/>
    <x v="1"/>
    <n v="534"/>
    <n v="78"/>
    <n v="84"/>
    <n v="78"/>
    <n v="109"/>
    <n v="85"/>
    <n v="100"/>
    <x v="1"/>
    <x v="0"/>
    <x v="0"/>
  </r>
  <r>
    <x v="157"/>
    <x v="172"/>
    <x v="2"/>
    <x v="1"/>
    <n v="314"/>
    <n v="50"/>
    <n v="65"/>
    <n v="64"/>
    <n v="44"/>
    <n v="48"/>
    <n v="43"/>
    <x v="1"/>
    <x v="0"/>
    <x v="0"/>
  </r>
  <r>
    <x v="158"/>
    <x v="173"/>
    <x v="2"/>
    <x v="1"/>
    <n v="405"/>
    <n v="65"/>
    <n v="80"/>
    <n v="80"/>
    <n v="59"/>
    <n v="63"/>
    <n v="58"/>
    <x v="1"/>
    <x v="0"/>
    <x v="0"/>
  </r>
  <r>
    <x v="159"/>
    <x v="174"/>
    <x v="2"/>
    <x v="1"/>
    <n v="530"/>
    <n v="85"/>
    <n v="105"/>
    <n v="100"/>
    <n v="79"/>
    <n v="83"/>
    <n v="78"/>
    <x v="1"/>
    <x v="0"/>
    <x v="0"/>
  </r>
  <r>
    <x v="160"/>
    <x v="175"/>
    <x v="4"/>
    <x v="1"/>
    <n v="215"/>
    <n v="35"/>
    <n v="46"/>
    <n v="34"/>
    <n v="35"/>
    <n v="45"/>
    <n v="20"/>
    <x v="1"/>
    <x v="0"/>
    <x v="0"/>
  </r>
  <r>
    <x v="161"/>
    <x v="176"/>
    <x v="4"/>
    <x v="1"/>
    <n v="415"/>
    <n v="85"/>
    <n v="76"/>
    <n v="64"/>
    <n v="45"/>
    <n v="55"/>
    <n v="90"/>
    <x v="1"/>
    <x v="0"/>
    <x v="0"/>
  </r>
  <r>
    <x v="162"/>
    <x v="177"/>
    <x v="4"/>
    <x v="2"/>
    <n v="262"/>
    <n v="60"/>
    <n v="30"/>
    <n v="30"/>
    <n v="36"/>
    <n v="56"/>
    <n v="50"/>
    <x v="1"/>
    <x v="0"/>
    <x v="0"/>
  </r>
  <r>
    <x v="163"/>
    <x v="178"/>
    <x v="4"/>
    <x v="2"/>
    <n v="442"/>
    <n v="100"/>
    <n v="50"/>
    <n v="50"/>
    <n v="76"/>
    <n v="96"/>
    <n v="70"/>
    <x v="1"/>
    <x v="0"/>
    <x v="0"/>
  </r>
  <r>
    <x v="164"/>
    <x v="179"/>
    <x v="3"/>
    <x v="2"/>
    <n v="265"/>
    <n v="40"/>
    <n v="20"/>
    <n v="30"/>
    <n v="40"/>
    <n v="80"/>
    <n v="55"/>
    <x v="1"/>
    <x v="0"/>
    <x v="0"/>
  </r>
  <r>
    <x v="165"/>
    <x v="180"/>
    <x v="3"/>
    <x v="2"/>
    <n v="390"/>
    <n v="55"/>
    <n v="35"/>
    <n v="50"/>
    <n v="55"/>
    <n v="110"/>
    <n v="85"/>
    <x v="1"/>
    <x v="0"/>
    <x v="0"/>
  </r>
  <r>
    <x v="166"/>
    <x v="181"/>
    <x v="3"/>
    <x v="0"/>
    <n v="250"/>
    <n v="40"/>
    <n v="60"/>
    <n v="40"/>
    <n v="40"/>
    <n v="40"/>
    <n v="30"/>
    <x v="1"/>
    <x v="0"/>
    <x v="0"/>
  </r>
  <r>
    <x v="167"/>
    <x v="182"/>
    <x v="3"/>
    <x v="0"/>
    <n v="390"/>
    <n v="70"/>
    <n v="90"/>
    <n v="70"/>
    <n v="60"/>
    <n v="60"/>
    <n v="40"/>
    <x v="1"/>
    <x v="0"/>
    <x v="0"/>
  </r>
  <r>
    <x v="168"/>
    <x v="183"/>
    <x v="5"/>
    <x v="2"/>
    <n v="535"/>
    <n v="85"/>
    <n v="90"/>
    <n v="80"/>
    <n v="70"/>
    <n v="80"/>
    <n v="130"/>
    <x v="1"/>
    <x v="0"/>
    <x v="0"/>
  </r>
  <r>
    <x v="169"/>
    <x v="184"/>
    <x v="2"/>
    <x v="14"/>
    <n v="330"/>
    <n v="75"/>
    <n v="38"/>
    <n v="38"/>
    <n v="56"/>
    <n v="56"/>
    <n v="67"/>
    <x v="1"/>
    <x v="0"/>
    <x v="0"/>
  </r>
  <r>
    <x v="170"/>
    <x v="185"/>
    <x v="2"/>
    <x v="14"/>
    <n v="460"/>
    <n v="125"/>
    <n v="58"/>
    <n v="58"/>
    <n v="76"/>
    <n v="76"/>
    <n v="67"/>
    <x v="1"/>
    <x v="0"/>
    <x v="0"/>
  </r>
  <r>
    <x v="171"/>
    <x v="186"/>
    <x v="6"/>
    <x v="1"/>
    <n v="205"/>
    <n v="20"/>
    <n v="40"/>
    <n v="15"/>
    <n v="35"/>
    <n v="35"/>
    <n v="60"/>
    <x v="1"/>
    <x v="0"/>
    <x v="0"/>
  </r>
  <r>
    <x v="172"/>
    <x v="187"/>
    <x v="8"/>
    <x v="1"/>
    <n v="218"/>
    <n v="50"/>
    <n v="25"/>
    <n v="28"/>
    <n v="45"/>
    <n v="55"/>
    <n v="15"/>
    <x v="1"/>
    <x v="0"/>
    <x v="0"/>
  </r>
  <r>
    <x v="173"/>
    <x v="188"/>
    <x v="4"/>
    <x v="5"/>
    <n v="210"/>
    <n v="90"/>
    <n v="30"/>
    <n v="15"/>
    <n v="40"/>
    <n v="20"/>
    <n v="15"/>
    <x v="1"/>
    <x v="0"/>
    <x v="0"/>
  </r>
  <r>
    <x v="174"/>
    <x v="189"/>
    <x v="8"/>
    <x v="1"/>
    <n v="245"/>
    <n v="35"/>
    <n v="20"/>
    <n v="65"/>
    <n v="40"/>
    <n v="65"/>
    <n v="20"/>
    <x v="1"/>
    <x v="0"/>
    <x v="0"/>
  </r>
  <r>
    <x v="175"/>
    <x v="190"/>
    <x v="8"/>
    <x v="2"/>
    <n v="405"/>
    <n v="55"/>
    <n v="40"/>
    <n v="85"/>
    <n v="80"/>
    <n v="105"/>
    <n v="40"/>
    <x v="1"/>
    <x v="0"/>
    <x v="0"/>
  </r>
  <r>
    <x v="176"/>
    <x v="191"/>
    <x v="10"/>
    <x v="2"/>
    <n v="320"/>
    <n v="40"/>
    <n v="50"/>
    <n v="45"/>
    <n v="70"/>
    <n v="45"/>
    <n v="70"/>
    <x v="1"/>
    <x v="0"/>
    <x v="0"/>
  </r>
  <r>
    <x v="177"/>
    <x v="192"/>
    <x v="10"/>
    <x v="2"/>
    <n v="470"/>
    <n v="65"/>
    <n v="75"/>
    <n v="70"/>
    <n v="95"/>
    <n v="70"/>
    <n v="95"/>
    <x v="1"/>
    <x v="0"/>
    <x v="0"/>
  </r>
  <r>
    <x v="178"/>
    <x v="193"/>
    <x v="6"/>
    <x v="1"/>
    <n v="280"/>
    <n v="55"/>
    <n v="40"/>
    <n v="40"/>
    <n v="65"/>
    <n v="45"/>
    <n v="35"/>
    <x v="1"/>
    <x v="0"/>
    <x v="0"/>
  </r>
  <r>
    <x v="179"/>
    <x v="194"/>
    <x v="6"/>
    <x v="1"/>
    <n v="365"/>
    <n v="70"/>
    <n v="55"/>
    <n v="55"/>
    <n v="80"/>
    <n v="60"/>
    <n v="45"/>
    <x v="1"/>
    <x v="0"/>
    <x v="0"/>
  </r>
  <r>
    <x v="180"/>
    <x v="195"/>
    <x v="6"/>
    <x v="3"/>
    <n v="610"/>
    <n v="90"/>
    <n v="95"/>
    <n v="105"/>
    <n v="165"/>
    <n v="110"/>
    <n v="45"/>
    <x v="1"/>
    <x v="0"/>
    <x v="1"/>
  </r>
  <r>
    <x v="180"/>
    <x v="196"/>
    <x v="6"/>
    <x v="1"/>
    <n v="510"/>
    <n v="90"/>
    <n v="75"/>
    <n v="85"/>
    <n v="115"/>
    <n v="90"/>
    <n v="55"/>
    <x v="1"/>
    <x v="0"/>
    <x v="0"/>
  </r>
  <r>
    <x v="181"/>
    <x v="197"/>
    <x v="0"/>
    <x v="1"/>
    <n v="490"/>
    <n v="75"/>
    <n v="80"/>
    <n v="95"/>
    <n v="90"/>
    <n v="100"/>
    <n v="50"/>
    <x v="1"/>
    <x v="0"/>
    <x v="0"/>
  </r>
  <r>
    <x v="182"/>
    <x v="198"/>
    <x v="2"/>
    <x v="5"/>
    <n v="250"/>
    <n v="70"/>
    <n v="20"/>
    <n v="50"/>
    <n v="20"/>
    <n v="50"/>
    <n v="40"/>
    <x v="1"/>
    <x v="0"/>
    <x v="0"/>
  </r>
  <r>
    <x v="183"/>
    <x v="199"/>
    <x v="2"/>
    <x v="5"/>
    <n v="420"/>
    <n v="100"/>
    <n v="50"/>
    <n v="80"/>
    <n v="60"/>
    <n v="80"/>
    <n v="50"/>
    <x v="1"/>
    <x v="0"/>
    <x v="0"/>
  </r>
  <r>
    <x v="184"/>
    <x v="200"/>
    <x v="11"/>
    <x v="1"/>
    <n v="410"/>
    <n v="70"/>
    <n v="100"/>
    <n v="115"/>
    <n v="30"/>
    <n v="65"/>
    <n v="30"/>
    <x v="1"/>
    <x v="0"/>
    <x v="0"/>
  </r>
  <r>
    <x v="185"/>
    <x v="201"/>
    <x v="2"/>
    <x v="1"/>
    <n v="500"/>
    <n v="90"/>
    <n v="75"/>
    <n v="75"/>
    <n v="90"/>
    <n v="100"/>
    <n v="70"/>
    <x v="1"/>
    <x v="0"/>
    <x v="0"/>
  </r>
  <r>
    <x v="186"/>
    <x v="202"/>
    <x v="0"/>
    <x v="2"/>
    <n v="250"/>
    <n v="35"/>
    <n v="35"/>
    <n v="40"/>
    <n v="35"/>
    <n v="55"/>
    <n v="50"/>
    <x v="1"/>
    <x v="0"/>
    <x v="0"/>
  </r>
  <r>
    <x v="187"/>
    <x v="203"/>
    <x v="0"/>
    <x v="2"/>
    <n v="340"/>
    <n v="55"/>
    <n v="45"/>
    <n v="50"/>
    <n v="45"/>
    <n v="65"/>
    <n v="80"/>
    <x v="1"/>
    <x v="0"/>
    <x v="0"/>
  </r>
  <r>
    <x v="188"/>
    <x v="204"/>
    <x v="0"/>
    <x v="2"/>
    <n v="460"/>
    <n v="75"/>
    <n v="55"/>
    <n v="70"/>
    <n v="55"/>
    <n v="95"/>
    <n v="110"/>
    <x v="1"/>
    <x v="0"/>
    <x v="0"/>
  </r>
  <r>
    <x v="189"/>
    <x v="205"/>
    <x v="4"/>
    <x v="1"/>
    <n v="360"/>
    <n v="55"/>
    <n v="70"/>
    <n v="55"/>
    <n v="40"/>
    <n v="55"/>
    <n v="85"/>
    <x v="1"/>
    <x v="0"/>
    <x v="0"/>
  </r>
  <r>
    <x v="190"/>
    <x v="206"/>
    <x v="0"/>
    <x v="1"/>
    <n v="180"/>
    <n v="30"/>
    <n v="30"/>
    <n v="30"/>
    <n v="30"/>
    <n v="30"/>
    <n v="30"/>
    <x v="1"/>
    <x v="0"/>
    <x v="0"/>
  </r>
  <r>
    <x v="191"/>
    <x v="207"/>
    <x v="0"/>
    <x v="1"/>
    <n v="425"/>
    <n v="75"/>
    <n v="75"/>
    <n v="55"/>
    <n v="105"/>
    <n v="85"/>
    <n v="30"/>
    <x v="1"/>
    <x v="0"/>
    <x v="0"/>
  </r>
  <r>
    <x v="192"/>
    <x v="208"/>
    <x v="3"/>
    <x v="2"/>
    <n v="390"/>
    <n v="65"/>
    <n v="65"/>
    <n v="45"/>
    <n v="75"/>
    <n v="45"/>
    <n v="95"/>
    <x v="1"/>
    <x v="0"/>
    <x v="0"/>
  </r>
  <r>
    <x v="193"/>
    <x v="209"/>
    <x v="2"/>
    <x v="4"/>
    <n v="210"/>
    <n v="55"/>
    <n v="45"/>
    <n v="45"/>
    <n v="25"/>
    <n v="25"/>
    <n v="15"/>
    <x v="1"/>
    <x v="0"/>
    <x v="0"/>
  </r>
  <r>
    <x v="194"/>
    <x v="210"/>
    <x v="2"/>
    <x v="4"/>
    <n v="430"/>
    <n v="95"/>
    <n v="85"/>
    <n v="85"/>
    <n v="65"/>
    <n v="65"/>
    <n v="35"/>
    <x v="1"/>
    <x v="0"/>
    <x v="0"/>
  </r>
  <r>
    <x v="195"/>
    <x v="211"/>
    <x v="10"/>
    <x v="1"/>
    <n v="525"/>
    <n v="65"/>
    <n v="65"/>
    <n v="60"/>
    <n v="130"/>
    <n v="95"/>
    <n v="110"/>
    <x v="1"/>
    <x v="0"/>
    <x v="0"/>
  </r>
  <r>
    <x v="196"/>
    <x v="212"/>
    <x v="15"/>
    <x v="1"/>
    <n v="525"/>
    <n v="95"/>
    <n v="65"/>
    <n v="110"/>
    <n v="60"/>
    <n v="130"/>
    <n v="65"/>
    <x v="1"/>
    <x v="0"/>
    <x v="0"/>
  </r>
  <r>
    <x v="197"/>
    <x v="213"/>
    <x v="15"/>
    <x v="2"/>
    <n v="405"/>
    <n v="60"/>
    <n v="85"/>
    <n v="42"/>
    <n v="85"/>
    <n v="42"/>
    <n v="91"/>
    <x v="1"/>
    <x v="0"/>
    <x v="0"/>
  </r>
  <r>
    <x v="198"/>
    <x v="214"/>
    <x v="2"/>
    <x v="8"/>
    <n v="490"/>
    <n v="95"/>
    <n v="75"/>
    <n v="80"/>
    <n v="100"/>
    <n v="110"/>
    <n v="30"/>
    <x v="1"/>
    <x v="0"/>
    <x v="0"/>
  </r>
  <r>
    <x v="199"/>
    <x v="215"/>
    <x v="12"/>
    <x v="1"/>
    <n v="435"/>
    <n v="60"/>
    <n v="60"/>
    <n v="60"/>
    <n v="85"/>
    <n v="85"/>
    <n v="85"/>
    <x v="1"/>
    <x v="0"/>
    <x v="0"/>
  </r>
  <r>
    <x v="200"/>
    <x v="216"/>
    <x v="10"/>
    <x v="1"/>
    <n v="336"/>
    <n v="48"/>
    <n v="72"/>
    <n v="48"/>
    <n v="72"/>
    <n v="48"/>
    <n v="48"/>
    <x v="1"/>
    <x v="0"/>
    <x v="0"/>
  </r>
  <r>
    <x v="201"/>
    <x v="217"/>
    <x v="10"/>
    <x v="1"/>
    <n v="405"/>
    <n v="190"/>
    <n v="33"/>
    <n v="58"/>
    <n v="33"/>
    <n v="58"/>
    <n v="33"/>
    <x v="1"/>
    <x v="0"/>
    <x v="0"/>
  </r>
  <r>
    <x v="202"/>
    <x v="218"/>
    <x v="4"/>
    <x v="8"/>
    <n v="455"/>
    <n v="70"/>
    <n v="80"/>
    <n v="65"/>
    <n v="90"/>
    <n v="65"/>
    <n v="85"/>
    <x v="1"/>
    <x v="0"/>
    <x v="0"/>
  </r>
  <r>
    <x v="203"/>
    <x v="219"/>
    <x v="3"/>
    <x v="1"/>
    <n v="290"/>
    <n v="50"/>
    <n v="65"/>
    <n v="90"/>
    <n v="35"/>
    <n v="35"/>
    <n v="15"/>
    <x v="1"/>
    <x v="0"/>
    <x v="0"/>
  </r>
  <r>
    <x v="204"/>
    <x v="220"/>
    <x v="3"/>
    <x v="9"/>
    <n v="465"/>
    <n v="75"/>
    <n v="90"/>
    <n v="140"/>
    <n v="60"/>
    <n v="60"/>
    <n v="40"/>
    <x v="1"/>
    <x v="0"/>
    <x v="0"/>
  </r>
  <r>
    <x v="205"/>
    <x v="221"/>
    <x v="4"/>
    <x v="1"/>
    <n v="415"/>
    <n v="100"/>
    <n v="70"/>
    <n v="70"/>
    <n v="65"/>
    <n v="65"/>
    <n v="45"/>
    <x v="1"/>
    <x v="0"/>
    <x v="0"/>
  </r>
  <r>
    <x v="206"/>
    <x v="222"/>
    <x v="7"/>
    <x v="2"/>
    <n v="430"/>
    <n v="65"/>
    <n v="75"/>
    <n v="105"/>
    <n v="35"/>
    <n v="65"/>
    <n v="85"/>
    <x v="1"/>
    <x v="0"/>
    <x v="0"/>
  </r>
  <r>
    <x v="207"/>
    <x v="223"/>
    <x v="16"/>
    <x v="4"/>
    <n v="610"/>
    <n v="75"/>
    <n v="125"/>
    <n v="230"/>
    <n v="55"/>
    <n v="95"/>
    <n v="30"/>
    <x v="1"/>
    <x v="0"/>
    <x v="1"/>
  </r>
  <r>
    <x v="207"/>
    <x v="224"/>
    <x v="16"/>
    <x v="4"/>
    <n v="510"/>
    <n v="75"/>
    <n v="85"/>
    <n v="200"/>
    <n v="55"/>
    <n v="65"/>
    <n v="30"/>
    <x v="1"/>
    <x v="0"/>
    <x v="0"/>
  </r>
  <r>
    <x v="208"/>
    <x v="225"/>
    <x v="8"/>
    <x v="1"/>
    <n v="300"/>
    <n v="60"/>
    <n v="80"/>
    <n v="50"/>
    <n v="40"/>
    <n v="40"/>
    <n v="30"/>
    <x v="1"/>
    <x v="0"/>
    <x v="0"/>
  </r>
  <r>
    <x v="209"/>
    <x v="226"/>
    <x v="8"/>
    <x v="1"/>
    <n v="450"/>
    <n v="90"/>
    <n v="120"/>
    <n v="75"/>
    <n v="60"/>
    <n v="60"/>
    <n v="45"/>
    <x v="1"/>
    <x v="0"/>
    <x v="0"/>
  </r>
  <r>
    <x v="210"/>
    <x v="227"/>
    <x v="2"/>
    <x v="0"/>
    <n v="430"/>
    <n v="65"/>
    <n v="95"/>
    <n v="75"/>
    <n v="55"/>
    <n v="55"/>
    <n v="85"/>
    <x v="1"/>
    <x v="0"/>
    <x v="0"/>
  </r>
  <r>
    <x v="211"/>
    <x v="228"/>
    <x v="3"/>
    <x v="9"/>
    <n v="600"/>
    <n v="70"/>
    <n v="150"/>
    <n v="140"/>
    <n v="65"/>
    <n v="100"/>
    <n v="75"/>
    <x v="1"/>
    <x v="0"/>
    <x v="1"/>
  </r>
  <r>
    <x v="211"/>
    <x v="229"/>
    <x v="3"/>
    <x v="9"/>
    <n v="500"/>
    <n v="70"/>
    <n v="130"/>
    <n v="100"/>
    <n v="55"/>
    <n v="80"/>
    <n v="65"/>
    <x v="1"/>
    <x v="0"/>
    <x v="0"/>
  </r>
  <r>
    <x v="212"/>
    <x v="230"/>
    <x v="3"/>
    <x v="11"/>
    <n v="505"/>
    <n v="20"/>
    <n v="10"/>
    <n v="230"/>
    <n v="10"/>
    <n v="230"/>
    <n v="5"/>
    <x v="1"/>
    <x v="0"/>
    <x v="0"/>
  </r>
  <r>
    <x v="213"/>
    <x v="231"/>
    <x v="3"/>
    <x v="7"/>
    <n v="500"/>
    <n v="80"/>
    <n v="125"/>
    <n v="75"/>
    <n v="40"/>
    <n v="95"/>
    <n v="85"/>
    <x v="1"/>
    <x v="0"/>
    <x v="0"/>
  </r>
  <r>
    <x v="213"/>
    <x v="232"/>
    <x v="3"/>
    <x v="7"/>
    <n v="600"/>
    <n v="80"/>
    <n v="185"/>
    <n v="115"/>
    <n v="40"/>
    <n v="105"/>
    <n v="75"/>
    <x v="1"/>
    <x v="0"/>
    <x v="1"/>
  </r>
  <r>
    <x v="214"/>
    <x v="233"/>
    <x v="15"/>
    <x v="10"/>
    <n v="430"/>
    <n v="55"/>
    <n v="95"/>
    <n v="55"/>
    <n v="35"/>
    <n v="75"/>
    <n v="115"/>
    <x v="1"/>
    <x v="0"/>
    <x v="0"/>
  </r>
  <r>
    <x v="215"/>
    <x v="234"/>
    <x v="4"/>
    <x v="1"/>
    <n v="330"/>
    <n v="60"/>
    <n v="80"/>
    <n v="50"/>
    <n v="50"/>
    <n v="50"/>
    <n v="40"/>
    <x v="1"/>
    <x v="0"/>
    <x v="0"/>
  </r>
  <r>
    <x v="216"/>
    <x v="235"/>
    <x v="4"/>
    <x v="1"/>
    <n v="500"/>
    <n v="90"/>
    <n v="130"/>
    <n v="75"/>
    <n v="75"/>
    <n v="75"/>
    <n v="55"/>
    <x v="1"/>
    <x v="0"/>
    <x v="0"/>
  </r>
  <r>
    <x v="217"/>
    <x v="236"/>
    <x v="1"/>
    <x v="1"/>
    <n v="250"/>
    <n v="40"/>
    <n v="40"/>
    <n v="40"/>
    <n v="70"/>
    <n v="40"/>
    <n v="20"/>
    <x v="1"/>
    <x v="0"/>
    <x v="0"/>
  </r>
  <r>
    <x v="218"/>
    <x v="237"/>
    <x v="1"/>
    <x v="11"/>
    <n v="410"/>
    <n v="50"/>
    <n v="50"/>
    <n v="120"/>
    <n v="80"/>
    <n v="80"/>
    <n v="30"/>
    <x v="1"/>
    <x v="0"/>
    <x v="0"/>
  </r>
  <r>
    <x v="219"/>
    <x v="238"/>
    <x v="13"/>
    <x v="4"/>
    <n v="250"/>
    <n v="50"/>
    <n v="50"/>
    <n v="40"/>
    <n v="30"/>
    <n v="30"/>
    <n v="50"/>
    <x v="1"/>
    <x v="0"/>
    <x v="0"/>
  </r>
  <r>
    <x v="220"/>
    <x v="239"/>
    <x v="13"/>
    <x v="4"/>
    <n v="450"/>
    <n v="100"/>
    <n v="100"/>
    <n v="80"/>
    <n v="60"/>
    <n v="60"/>
    <n v="50"/>
    <x v="1"/>
    <x v="0"/>
    <x v="0"/>
  </r>
  <r>
    <x v="221"/>
    <x v="240"/>
    <x v="2"/>
    <x v="11"/>
    <n v="380"/>
    <n v="55"/>
    <n v="55"/>
    <n v="85"/>
    <n v="65"/>
    <n v="85"/>
    <n v="35"/>
    <x v="1"/>
    <x v="0"/>
    <x v="0"/>
  </r>
  <r>
    <x v="222"/>
    <x v="241"/>
    <x v="2"/>
    <x v="1"/>
    <n v="300"/>
    <n v="35"/>
    <n v="65"/>
    <n v="35"/>
    <n v="65"/>
    <n v="35"/>
    <n v="65"/>
    <x v="1"/>
    <x v="0"/>
    <x v="0"/>
  </r>
  <r>
    <x v="223"/>
    <x v="242"/>
    <x v="2"/>
    <x v="1"/>
    <n v="480"/>
    <n v="75"/>
    <n v="105"/>
    <n v="75"/>
    <n v="105"/>
    <n v="75"/>
    <n v="45"/>
    <x v="1"/>
    <x v="0"/>
    <x v="0"/>
  </r>
  <r>
    <x v="224"/>
    <x v="243"/>
    <x v="13"/>
    <x v="2"/>
    <n v="330"/>
    <n v="45"/>
    <n v="55"/>
    <n v="45"/>
    <n v="65"/>
    <n v="45"/>
    <n v="75"/>
    <x v="1"/>
    <x v="0"/>
    <x v="0"/>
  </r>
  <r>
    <x v="225"/>
    <x v="244"/>
    <x v="2"/>
    <x v="2"/>
    <n v="465"/>
    <n v="65"/>
    <n v="40"/>
    <n v="70"/>
    <n v="80"/>
    <n v="140"/>
    <n v="70"/>
    <x v="1"/>
    <x v="0"/>
    <x v="0"/>
  </r>
  <r>
    <x v="226"/>
    <x v="245"/>
    <x v="16"/>
    <x v="2"/>
    <n v="465"/>
    <n v="65"/>
    <n v="80"/>
    <n v="140"/>
    <n v="40"/>
    <n v="70"/>
    <n v="70"/>
    <x v="1"/>
    <x v="0"/>
    <x v="0"/>
  </r>
  <r>
    <x v="227"/>
    <x v="246"/>
    <x v="15"/>
    <x v="15"/>
    <n v="330"/>
    <n v="45"/>
    <n v="60"/>
    <n v="30"/>
    <n v="80"/>
    <n v="50"/>
    <n v="65"/>
    <x v="1"/>
    <x v="0"/>
    <x v="0"/>
  </r>
  <r>
    <x v="228"/>
    <x v="247"/>
    <x v="15"/>
    <x v="15"/>
    <n v="500"/>
    <n v="75"/>
    <n v="90"/>
    <n v="50"/>
    <n v="110"/>
    <n v="80"/>
    <n v="95"/>
    <x v="1"/>
    <x v="0"/>
    <x v="0"/>
  </r>
  <r>
    <x v="228"/>
    <x v="248"/>
    <x v="15"/>
    <x v="15"/>
    <n v="600"/>
    <n v="75"/>
    <n v="90"/>
    <n v="90"/>
    <n v="140"/>
    <n v="90"/>
    <n v="115"/>
    <x v="1"/>
    <x v="0"/>
    <x v="1"/>
  </r>
  <r>
    <x v="229"/>
    <x v="249"/>
    <x v="2"/>
    <x v="3"/>
    <n v="540"/>
    <n v="75"/>
    <n v="95"/>
    <n v="95"/>
    <n v="95"/>
    <n v="95"/>
    <n v="85"/>
    <x v="1"/>
    <x v="0"/>
    <x v="0"/>
  </r>
  <r>
    <x v="230"/>
    <x v="250"/>
    <x v="7"/>
    <x v="1"/>
    <n v="330"/>
    <n v="90"/>
    <n v="60"/>
    <n v="60"/>
    <n v="40"/>
    <n v="40"/>
    <n v="40"/>
    <x v="1"/>
    <x v="0"/>
    <x v="0"/>
  </r>
  <r>
    <x v="231"/>
    <x v="251"/>
    <x v="7"/>
    <x v="1"/>
    <n v="500"/>
    <n v="90"/>
    <n v="120"/>
    <n v="120"/>
    <n v="60"/>
    <n v="60"/>
    <n v="50"/>
    <x v="1"/>
    <x v="0"/>
    <x v="0"/>
  </r>
  <r>
    <x v="232"/>
    <x v="252"/>
    <x v="4"/>
    <x v="1"/>
    <n v="515"/>
    <n v="85"/>
    <n v="80"/>
    <n v="90"/>
    <n v="105"/>
    <n v="95"/>
    <n v="60"/>
    <x v="1"/>
    <x v="0"/>
    <x v="0"/>
  </r>
  <r>
    <x v="233"/>
    <x v="253"/>
    <x v="4"/>
    <x v="1"/>
    <n v="465"/>
    <n v="73"/>
    <n v="95"/>
    <n v="62"/>
    <n v="85"/>
    <n v="65"/>
    <n v="85"/>
    <x v="1"/>
    <x v="0"/>
    <x v="0"/>
  </r>
  <r>
    <x v="234"/>
    <x v="254"/>
    <x v="4"/>
    <x v="1"/>
    <n v="250"/>
    <n v="55"/>
    <n v="20"/>
    <n v="35"/>
    <n v="20"/>
    <n v="45"/>
    <n v="75"/>
    <x v="1"/>
    <x v="0"/>
    <x v="0"/>
  </r>
  <r>
    <x v="235"/>
    <x v="255"/>
    <x v="9"/>
    <x v="1"/>
    <n v="210"/>
    <n v="35"/>
    <n v="35"/>
    <n v="35"/>
    <n v="35"/>
    <n v="35"/>
    <n v="35"/>
    <x v="1"/>
    <x v="0"/>
    <x v="0"/>
  </r>
  <r>
    <x v="236"/>
    <x v="256"/>
    <x v="9"/>
    <x v="1"/>
    <n v="455"/>
    <n v="50"/>
    <n v="95"/>
    <n v="95"/>
    <n v="35"/>
    <n v="110"/>
    <n v="70"/>
    <x v="1"/>
    <x v="0"/>
    <x v="0"/>
  </r>
  <r>
    <x v="237"/>
    <x v="257"/>
    <x v="13"/>
    <x v="8"/>
    <n v="305"/>
    <n v="45"/>
    <n v="30"/>
    <n v="15"/>
    <n v="85"/>
    <n v="65"/>
    <n v="65"/>
    <x v="1"/>
    <x v="0"/>
    <x v="0"/>
  </r>
  <r>
    <x v="238"/>
    <x v="258"/>
    <x v="6"/>
    <x v="1"/>
    <n v="360"/>
    <n v="45"/>
    <n v="63"/>
    <n v="37"/>
    <n v="65"/>
    <n v="55"/>
    <n v="95"/>
    <x v="1"/>
    <x v="0"/>
    <x v="0"/>
  </r>
  <r>
    <x v="239"/>
    <x v="259"/>
    <x v="1"/>
    <x v="1"/>
    <n v="365"/>
    <n v="45"/>
    <n v="75"/>
    <n v="37"/>
    <n v="70"/>
    <n v="55"/>
    <n v="83"/>
    <x v="1"/>
    <x v="0"/>
    <x v="0"/>
  </r>
  <r>
    <x v="240"/>
    <x v="260"/>
    <x v="4"/>
    <x v="1"/>
    <n v="490"/>
    <n v="95"/>
    <n v="80"/>
    <n v="105"/>
    <n v="40"/>
    <n v="70"/>
    <n v="100"/>
    <x v="1"/>
    <x v="0"/>
    <x v="0"/>
  </r>
  <r>
    <x v="241"/>
    <x v="261"/>
    <x v="4"/>
    <x v="1"/>
    <n v="540"/>
    <n v="255"/>
    <n v="10"/>
    <n v="10"/>
    <n v="75"/>
    <n v="135"/>
    <n v="55"/>
    <x v="1"/>
    <x v="0"/>
    <x v="0"/>
  </r>
  <r>
    <x v="242"/>
    <x v="262"/>
    <x v="6"/>
    <x v="1"/>
    <n v="580"/>
    <n v="90"/>
    <n v="85"/>
    <n v="75"/>
    <n v="115"/>
    <n v="100"/>
    <n v="115"/>
    <x v="1"/>
    <x v="1"/>
    <x v="0"/>
  </r>
  <r>
    <x v="243"/>
    <x v="263"/>
    <x v="1"/>
    <x v="1"/>
    <n v="580"/>
    <n v="115"/>
    <n v="115"/>
    <n v="85"/>
    <n v="90"/>
    <n v="75"/>
    <n v="100"/>
    <x v="1"/>
    <x v="1"/>
    <x v="0"/>
  </r>
  <r>
    <x v="244"/>
    <x v="264"/>
    <x v="2"/>
    <x v="1"/>
    <n v="580"/>
    <n v="100"/>
    <n v="75"/>
    <n v="115"/>
    <n v="90"/>
    <n v="115"/>
    <n v="85"/>
    <x v="1"/>
    <x v="1"/>
    <x v="0"/>
  </r>
  <r>
    <x v="245"/>
    <x v="265"/>
    <x v="11"/>
    <x v="4"/>
    <n v="300"/>
    <n v="50"/>
    <n v="64"/>
    <n v="50"/>
    <n v="45"/>
    <n v="50"/>
    <n v="41"/>
    <x v="1"/>
    <x v="0"/>
    <x v="0"/>
  </r>
  <r>
    <x v="246"/>
    <x v="266"/>
    <x v="11"/>
    <x v="4"/>
    <n v="410"/>
    <n v="70"/>
    <n v="84"/>
    <n v="70"/>
    <n v="65"/>
    <n v="70"/>
    <n v="51"/>
    <x v="1"/>
    <x v="0"/>
    <x v="0"/>
  </r>
  <r>
    <x v="247"/>
    <x v="267"/>
    <x v="11"/>
    <x v="12"/>
    <n v="700"/>
    <n v="100"/>
    <n v="164"/>
    <n v="150"/>
    <n v="95"/>
    <n v="120"/>
    <n v="71"/>
    <x v="1"/>
    <x v="0"/>
    <x v="1"/>
  </r>
  <r>
    <x v="247"/>
    <x v="268"/>
    <x v="11"/>
    <x v="12"/>
    <n v="600"/>
    <n v="100"/>
    <n v="134"/>
    <n v="110"/>
    <n v="95"/>
    <n v="100"/>
    <n v="61"/>
    <x v="1"/>
    <x v="0"/>
    <x v="0"/>
  </r>
  <r>
    <x v="248"/>
    <x v="269"/>
    <x v="10"/>
    <x v="2"/>
    <n v="680"/>
    <n v="106"/>
    <n v="90"/>
    <n v="130"/>
    <n v="90"/>
    <n v="154"/>
    <n v="110"/>
    <x v="1"/>
    <x v="1"/>
    <x v="0"/>
  </r>
  <r>
    <x v="249"/>
    <x v="270"/>
    <x v="1"/>
    <x v="2"/>
    <n v="680"/>
    <n v="106"/>
    <n v="130"/>
    <n v="90"/>
    <n v="110"/>
    <n v="154"/>
    <n v="90"/>
    <x v="1"/>
    <x v="1"/>
    <x v="0"/>
  </r>
  <r>
    <x v="250"/>
    <x v="271"/>
    <x v="10"/>
    <x v="6"/>
    <n v="600"/>
    <n v="100"/>
    <n v="100"/>
    <n v="100"/>
    <n v="100"/>
    <n v="100"/>
    <n v="100"/>
    <x v="1"/>
    <x v="0"/>
    <x v="0"/>
  </r>
  <r>
    <x v="251"/>
    <x v="272"/>
    <x v="0"/>
    <x v="1"/>
    <n v="310"/>
    <n v="40"/>
    <n v="45"/>
    <n v="35"/>
    <n v="65"/>
    <n v="55"/>
    <n v="70"/>
    <x v="2"/>
    <x v="0"/>
    <x v="0"/>
  </r>
  <r>
    <x v="252"/>
    <x v="273"/>
    <x v="0"/>
    <x v="1"/>
    <n v="405"/>
    <n v="50"/>
    <n v="65"/>
    <n v="45"/>
    <n v="85"/>
    <n v="65"/>
    <n v="95"/>
    <x v="2"/>
    <x v="0"/>
    <x v="0"/>
  </r>
  <r>
    <x v="253"/>
    <x v="274"/>
    <x v="0"/>
    <x v="3"/>
    <n v="630"/>
    <n v="70"/>
    <n v="110"/>
    <n v="75"/>
    <n v="145"/>
    <n v="85"/>
    <n v="145"/>
    <x v="2"/>
    <x v="0"/>
    <x v="1"/>
  </r>
  <r>
    <x v="253"/>
    <x v="275"/>
    <x v="0"/>
    <x v="1"/>
    <n v="530"/>
    <n v="70"/>
    <n v="85"/>
    <n v="65"/>
    <n v="105"/>
    <n v="85"/>
    <n v="120"/>
    <x v="2"/>
    <x v="0"/>
    <x v="0"/>
  </r>
  <r>
    <x v="254"/>
    <x v="276"/>
    <x v="1"/>
    <x v="1"/>
    <n v="310"/>
    <n v="45"/>
    <n v="60"/>
    <n v="40"/>
    <n v="70"/>
    <n v="50"/>
    <n v="45"/>
    <x v="2"/>
    <x v="0"/>
    <x v="0"/>
  </r>
  <r>
    <x v="255"/>
    <x v="277"/>
    <x v="1"/>
    <x v="7"/>
    <n v="405"/>
    <n v="60"/>
    <n v="85"/>
    <n v="60"/>
    <n v="85"/>
    <n v="60"/>
    <n v="55"/>
    <x v="2"/>
    <x v="0"/>
    <x v="0"/>
  </r>
  <r>
    <x v="256"/>
    <x v="278"/>
    <x v="1"/>
    <x v="7"/>
    <n v="530"/>
    <n v="80"/>
    <n v="120"/>
    <n v="70"/>
    <n v="110"/>
    <n v="70"/>
    <n v="80"/>
    <x v="2"/>
    <x v="0"/>
    <x v="0"/>
  </r>
  <r>
    <x v="256"/>
    <x v="279"/>
    <x v="1"/>
    <x v="7"/>
    <n v="630"/>
    <n v="80"/>
    <n v="160"/>
    <n v="80"/>
    <n v="130"/>
    <n v="80"/>
    <n v="100"/>
    <x v="2"/>
    <x v="0"/>
    <x v="1"/>
  </r>
  <r>
    <x v="257"/>
    <x v="280"/>
    <x v="2"/>
    <x v="1"/>
    <n v="310"/>
    <n v="50"/>
    <n v="70"/>
    <n v="50"/>
    <n v="50"/>
    <n v="50"/>
    <n v="40"/>
    <x v="2"/>
    <x v="0"/>
    <x v="0"/>
  </r>
  <r>
    <x v="258"/>
    <x v="281"/>
    <x v="2"/>
    <x v="4"/>
    <n v="405"/>
    <n v="70"/>
    <n v="85"/>
    <n v="70"/>
    <n v="60"/>
    <n v="70"/>
    <n v="50"/>
    <x v="2"/>
    <x v="0"/>
    <x v="0"/>
  </r>
  <r>
    <x v="259"/>
    <x v="282"/>
    <x v="2"/>
    <x v="4"/>
    <n v="535"/>
    <n v="100"/>
    <n v="110"/>
    <n v="90"/>
    <n v="85"/>
    <n v="90"/>
    <n v="60"/>
    <x v="2"/>
    <x v="0"/>
    <x v="0"/>
  </r>
  <r>
    <x v="259"/>
    <x v="283"/>
    <x v="2"/>
    <x v="4"/>
    <n v="635"/>
    <n v="100"/>
    <n v="150"/>
    <n v="110"/>
    <n v="95"/>
    <n v="110"/>
    <n v="70"/>
    <x v="2"/>
    <x v="0"/>
    <x v="1"/>
  </r>
  <r>
    <x v="260"/>
    <x v="284"/>
    <x v="15"/>
    <x v="1"/>
    <n v="220"/>
    <n v="35"/>
    <n v="55"/>
    <n v="35"/>
    <n v="30"/>
    <n v="30"/>
    <n v="35"/>
    <x v="2"/>
    <x v="0"/>
    <x v="0"/>
  </r>
  <r>
    <x v="261"/>
    <x v="285"/>
    <x v="15"/>
    <x v="1"/>
    <n v="420"/>
    <n v="70"/>
    <n v="90"/>
    <n v="70"/>
    <n v="60"/>
    <n v="60"/>
    <n v="70"/>
    <x v="2"/>
    <x v="0"/>
    <x v="0"/>
  </r>
  <r>
    <x v="262"/>
    <x v="286"/>
    <x v="4"/>
    <x v="1"/>
    <n v="240"/>
    <n v="38"/>
    <n v="30"/>
    <n v="41"/>
    <n v="30"/>
    <n v="41"/>
    <n v="60"/>
    <x v="2"/>
    <x v="0"/>
    <x v="0"/>
  </r>
  <r>
    <x v="263"/>
    <x v="287"/>
    <x v="4"/>
    <x v="1"/>
    <n v="420"/>
    <n v="78"/>
    <n v="70"/>
    <n v="61"/>
    <n v="50"/>
    <n v="61"/>
    <n v="100"/>
    <x v="2"/>
    <x v="0"/>
    <x v="0"/>
  </r>
  <r>
    <x v="264"/>
    <x v="288"/>
    <x v="3"/>
    <x v="1"/>
    <n v="195"/>
    <n v="45"/>
    <n v="45"/>
    <n v="35"/>
    <n v="20"/>
    <n v="30"/>
    <n v="20"/>
    <x v="2"/>
    <x v="0"/>
    <x v="0"/>
  </r>
  <r>
    <x v="265"/>
    <x v="289"/>
    <x v="3"/>
    <x v="1"/>
    <n v="205"/>
    <n v="50"/>
    <n v="35"/>
    <n v="55"/>
    <n v="25"/>
    <n v="25"/>
    <n v="15"/>
    <x v="2"/>
    <x v="0"/>
    <x v="0"/>
  </r>
  <r>
    <x v="266"/>
    <x v="290"/>
    <x v="3"/>
    <x v="2"/>
    <n v="395"/>
    <n v="60"/>
    <n v="70"/>
    <n v="50"/>
    <n v="100"/>
    <n v="50"/>
    <n v="65"/>
    <x v="2"/>
    <x v="0"/>
    <x v="0"/>
  </r>
  <r>
    <x v="267"/>
    <x v="291"/>
    <x v="3"/>
    <x v="1"/>
    <n v="205"/>
    <n v="50"/>
    <n v="35"/>
    <n v="55"/>
    <n v="25"/>
    <n v="25"/>
    <n v="15"/>
    <x v="2"/>
    <x v="0"/>
    <x v="0"/>
  </r>
  <r>
    <x v="268"/>
    <x v="292"/>
    <x v="3"/>
    <x v="0"/>
    <n v="385"/>
    <n v="60"/>
    <n v="50"/>
    <n v="70"/>
    <n v="50"/>
    <n v="90"/>
    <n v="65"/>
    <x v="2"/>
    <x v="0"/>
    <x v="0"/>
  </r>
  <r>
    <x v="269"/>
    <x v="293"/>
    <x v="2"/>
    <x v="6"/>
    <n v="220"/>
    <n v="40"/>
    <n v="30"/>
    <n v="30"/>
    <n v="40"/>
    <n v="50"/>
    <n v="30"/>
    <x v="2"/>
    <x v="0"/>
    <x v="0"/>
  </r>
  <r>
    <x v="270"/>
    <x v="294"/>
    <x v="2"/>
    <x v="6"/>
    <n v="340"/>
    <n v="60"/>
    <n v="50"/>
    <n v="50"/>
    <n v="60"/>
    <n v="70"/>
    <n v="50"/>
    <x v="2"/>
    <x v="0"/>
    <x v="0"/>
  </r>
  <r>
    <x v="271"/>
    <x v="295"/>
    <x v="2"/>
    <x v="6"/>
    <n v="480"/>
    <n v="80"/>
    <n v="70"/>
    <n v="70"/>
    <n v="90"/>
    <n v="100"/>
    <n v="70"/>
    <x v="2"/>
    <x v="0"/>
    <x v="0"/>
  </r>
  <r>
    <x v="272"/>
    <x v="296"/>
    <x v="0"/>
    <x v="1"/>
    <n v="220"/>
    <n v="40"/>
    <n v="40"/>
    <n v="50"/>
    <n v="30"/>
    <n v="30"/>
    <n v="30"/>
    <x v="2"/>
    <x v="0"/>
    <x v="0"/>
  </r>
  <r>
    <x v="273"/>
    <x v="297"/>
    <x v="0"/>
    <x v="12"/>
    <n v="340"/>
    <n v="70"/>
    <n v="70"/>
    <n v="40"/>
    <n v="60"/>
    <n v="40"/>
    <n v="60"/>
    <x v="2"/>
    <x v="0"/>
    <x v="0"/>
  </r>
  <r>
    <x v="274"/>
    <x v="298"/>
    <x v="0"/>
    <x v="12"/>
    <n v="480"/>
    <n v="90"/>
    <n v="100"/>
    <n v="60"/>
    <n v="90"/>
    <n v="60"/>
    <n v="80"/>
    <x v="2"/>
    <x v="0"/>
    <x v="0"/>
  </r>
  <r>
    <x v="275"/>
    <x v="299"/>
    <x v="4"/>
    <x v="2"/>
    <n v="270"/>
    <n v="40"/>
    <n v="55"/>
    <n v="30"/>
    <n v="30"/>
    <n v="30"/>
    <n v="85"/>
    <x v="2"/>
    <x v="0"/>
    <x v="0"/>
  </r>
  <r>
    <x v="276"/>
    <x v="300"/>
    <x v="4"/>
    <x v="2"/>
    <n v="430"/>
    <n v="60"/>
    <n v="85"/>
    <n v="60"/>
    <n v="50"/>
    <n v="50"/>
    <n v="125"/>
    <x v="2"/>
    <x v="0"/>
    <x v="0"/>
  </r>
  <r>
    <x v="277"/>
    <x v="301"/>
    <x v="2"/>
    <x v="2"/>
    <n v="270"/>
    <n v="40"/>
    <n v="30"/>
    <n v="30"/>
    <n v="55"/>
    <n v="30"/>
    <n v="85"/>
    <x v="2"/>
    <x v="0"/>
    <x v="0"/>
  </r>
  <r>
    <x v="278"/>
    <x v="302"/>
    <x v="2"/>
    <x v="2"/>
    <n v="430"/>
    <n v="60"/>
    <n v="50"/>
    <n v="100"/>
    <n v="85"/>
    <n v="70"/>
    <n v="65"/>
    <x v="2"/>
    <x v="0"/>
    <x v="0"/>
  </r>
  <r>
    <x v="279"/>
    <x v="303"/>
    <x v="10"/>
    <x v="5"/>
    <n v="198"/>
    <n v="28"/>
    <n v="25"/>
    <n v="25"/>
    <n v="45"/>
    <n v="35"/>
    <n v="40"/>
    <x v="2"/>
    <x v="0"/>
    <x v="0"/>
  </r>
  <r>
    <x v="280"/>
    <x v="304"/>
    <x v="10"/>
    <x v="5"/>
    <n v="278"/>
    <n v="38"/>
    <n v="35"/>
    <n v="35"/>
    <n v="65"/>
    <n v="55"/>
    <n v="50"/>
    <x v="2"/>
    <x v="0"/>
    <x v="0"/>
  </r>
  <r>
    <x v="281"/>
    <x v="305"/>
    <x v="10"/>
    <x v="5"/>
    <n v="518"/>
    <n v="68"/>
    <n v="65"/>
    <n v="65"/>
    <n v="125"/>
    <n v="115"/>
    <n v="80"/>
    <x v="2"/>
    <x v="0"/>
    <x v="0"/>
  </r>
  <r>
    <x v="281"/>
    <x v="306"/>
    <x v="10"/>
    <x v="5"/>
    <n v="618"/>
    <n v="68"/>
    <n v="85"/>
    <n v="65"/>
    <n v="165"/>
    <n v="135"/>
    <n v="100"/>
    <x v="2"/>
    <x v="0"/>
    <x v="1"/>
  </r>
  <r>
    <x v="282"/>
    <x v="307"/>
    <x v="3"/>
    <x v="13"/>
    <n v="269"/>
    <n v="40"/>
    <n v="30"/>
    <n v="32"/>
    <n v="50"/>
    <n v="52"/>
    <n v="65"/>
    <x v="2"/>
    <x v="0"/>
    <x v="0"/>
  </r>
  <r>
    <x v="283"/>
    <x v="308"/>
    <x v="3"/>
    <x v="2"/>
    <n v="414"/>
    <n v="70"/>
    <n v="60"/>
    <n v="62"/>
    <n v="80"/>
    <n v="82"/>
    <n v="60"/>
    <x v="2"/>
    <x v="0"/>
    <x v="0"/>
  </r>
  <r>
    <x v="284"/>
    <x v="309"/>
    <x v="0"/>
    <x v="1"/>
    <n v="295"/>
    <n v="60"/>
    <n v="40"/>
    <n v="60"/>
    <n v="40"/>
    <n v="60"/>
    <n v="35"/>
    <x v="2"/>
    <x v="0"/>
    <x v="0"/>
  </r>
  <r>
    <x v="285"/>
    <x v="310"/>
    <x v="0"/>
    <x v="7"/>
    <n v="460"/>
    <n v="60"/>
    <n v="130"/>
    <n v="80"/>
    <n v="60"/>
    <n v="60"/>
    <n v="70"/>
    <x v="2"/>
    <x v="0"/>
    <x v="0"/>
  </r>
  <r>
    <x v="286"/>
    <x v="311"/>
    <x v="4"/>
    <x v="1"/>
    <n v="280"/>
    <n v="60"/>
    <n v="60"/>
    <n v="60"/>
    <n v="35"/>
    <n v="35"/>
    <n v="30"/>
    <x v="2"/>
    <x v="0"/>
    <x v="0"/>
  </r>
  <r>
    <x v="287"/>
    <x v="312"/>
    <x v="4"/>
    <x v="1"/>
    <n v="440"/>
    <n v="80"/>
    <n v="80"/>
    <n v="80"/>
    <n v="55"/>
    <n v="55"/>
    <n v="90"/>
    <x v="2"/>
    <x v="0"/>
    <x v="0"/>
  </r>
  <r>
    <x v="288"/>
    <x v="313"/>
    <x v="4"/>
    <x v="1"/>
    <n v="670"/>
    <n v="150"/>
    <n v="160"/>
    <n v="100"/>
    <n v="95"/>
    <n v="65"/>
    <n v="100"/>
    <x v="2"/>
    <x v="0"/>
    <x v="0"/>
  </r>
  <r>
    <x v="289"/>
    <x v="314"/>
    <x v="3"/>
    <x v="4"/>
    <n v="266"/>
    <n v="31"/>
    <n v="45"/>
    <n v="90"/>
    <n v="30"/>
    <n v="30"/>
    <n v="40"/>
    <x v="2"/>
    <x v="0"/>
    <x v="0"/>
  </r>
  <r>
    <x v="290"/>
    <x v="315"/>
    <x v="3"/>
    <x v="2"/>
    <n v="456"/>
    <n v="61"/>
    <n v="90"/>
    <n v="45"/>
    <n v="50"/>
    <n v="50"/>
    <n v="160"/>
    <x v="2"/>
    <x v="0"/>
    <x v="0"/>
  </r>
  <r>
    <x v="291"/>
    <x v="316"/>
    <x v="3"/>
    <x v="16"/>
    <n v="236"/>
    <n v="1"/>
    <n v="90"/>
    <n v="45"/>
    <n v="30"/>
    <n v="30"/>
    <n v="40"/>
    <x v="2"/>
    <x v="0"/>
    <x v="0"/>
  </r>
  <r>
    <x v="292"/>
    <x v="317"/>
    <x v="4"/>
    <x v="1"/>
    <n v="240"/>
    <n v="64"/>
    <n v="51"/>
    <n v="23"/>
    <n v="51"/>
    <n v="23"/>
    <n v="28"/>
    <x v="2"/>
    <x v="0"/>
    <x v="0"/>
  </r>
  <r>
    <x v="293"/>
    <x v="318"/>
    <x v="4"/>
    <x v="1"/>
    <n v="360"/>
    <n v="84"/>
    <n v="71"/>
    <n v="43"/>
    <n v="71"/>
    <n v="43"/>
    <n v="48"/>
    <x v="2"/>
    <x v="0"/>
    <x v="0"/>
  </r>
  <r>
    <x v="294"/>
    <x v="319"/>
    <x v="4"/>
    <x v="1"/>
    <n v="490"/>
    <n v="104"/>
    <n v="91"/>
    <n v="63"/>
    <n v="91"/>
    <n v="73"/>
    <n v="68"/>
    <x v="2"/>
    <x v="0"/>
    <x v="0"/>
  </r>
  <r>
    <x v="295"/>
    <x v="320"/>
    <x v="9"/>
    <x v="1"/>
    <n v="237"/>
    <n v="72"/>
    <n v="60"/>
    <n v="30"/>
    <n v="20"/>
    <n v="30"/>
    <n v="25"/>
    <x v="2"/>
    <x v="0"/>
    <x v="0"/>
  </r>
  <r>
    <x v="296"/>
    <x v="321"/>
    <x v="9"/>
    <x v="1"/>
    <n v="474"/>
    <n v="144"/>
    <n v="120"/>
    <n v="60"/>
    <n v="40"/>
    <n v="60"/>
    <n v="50"/>
    <x v="2"/>
    <x v="0"/>
    <x v="0"/>
  </r>
  <r>
    <x v="297"/>
    <x v="322"/>
    <x v="4"/>
    <x v="5"/>
    <n v="190"/>
    <n v="50"/>
    <n v="20"/>
    <n v="40"/>
    <n v="20"/>
    <n v="40"/>
    <n v="20"/>
    <x v="2"/>
    <x v="0"/>
    <x v="0"/>
  </r>
  <r>
    <x v="298"/>
    <x v="323"/>
    <x v="11"/>
    <x v="1"/>
    <n v="375"/>
    <n v="30"/>
    <n v="45"/>
    <n v="135"/>
    <n v="45"/>
    <n v="90"/>
    <n v="30"/>
    <x v="2"/>
    <x v="0"/>
    <x v="0"/>
  </r>
  <r>
    <x v="299"/>
    <x v="324"/>
    <x v="4"/>
    <x v="1"/>
    <n v="260"/>
    <n v="50"/>
    <n v="45"/>
    <n v="45"/>
    <n v="35"/>
    <n v="35"/>
    <n v="50"/>
    <x v="2"/>
    <x v="0"/>
    <x v="0"/>
  </r>
  <r>
    <x v="300"/>
    <x v="325"/>
    <x v="4"/>
    <x v="1"/>
    <n v="380"/>
    <n v="70"/>
    <n v="65"/>
    <n v="65"/>
    <n v="55"/>
    <n v="55"/>
    <n v="70"/>
    <x v="2"/>
    <x v="0"/>
    <x v="0"/>
  </r>
  <r>
    <x v="301"/>
    <x v="326"/>
    <x v="15"/>
    <x v="16"/>
    <n v="380"/>
    <n v="50"/>
    <n v="75"/>
    <n v="75"/>
    <n v="65"/>
    <n v="65"/>
    <n v="50"/>
    <x v="2"/>
    <x v="0"/>
    <x v="0"/>
  </r>
  <r>
    <x v="301"/>
    <x v="327"/>
    <x v="15"/>
    <x v="16"/>
    <n v="480"/>
    <n v="50"/>
    <n v="85"/>
    <n v="125"/>
    <n v="85"/>
    <n v="115"/>
    <n v="20"/>
    <x v="2"/>
    <x v="0"/>
    <x v="1"/>
  </r>
  <r>
    <x v="302"/>
    <x v="328"/>
    <x v="16"/>
    <x v="5"/>
    <n v="480"/>
    <n v="50"/>
    <n v="105"/>
    <n v="125"/>
    <n v="55"/>
    <n v="95"/>
    <n v="50"/>
    <x v="2"/>
    <x v="0"/>
    <x v="1"/>
  </r>
  <r>
    <x v="302"/>
    <x v="329"/>
    <x v="16"/>
    <x v="5"/>
    <n v="380"/>
    <n v="50"/>
    <n v="85"/>
    <n v="85"/>
    <n v="55"/>
    <n v="55"/>
    <n v="50"/>
    <x v="2"/>
    <x v="0"/>
    <x v="0"/>
  </r>
  <r>
    <x v="303"/>
    <x v="330"/>
    <x v="16"/>
    <x v="11"/>
    <n v="330"/>
    <n v="50"/>
    <n v="70"/>
    <n v="100"/>
    <n v="40"/>
    <n v="40"/>
    <n v="30"/>
    <x v="2"/>
    <x v="0"/>
    <x v="0"/>
  </r>
  <r>
    <x v="304"/>
    <x v="331"/>
    <x v="16"/>
    <x v="11"/>
    <n v="430"/>
    <n v="60"/>
    <n v="90"/>
    <n v="140"/>
    <n v="50"/>
    <n v="50"/>
    <n v="40"/>
    <x v="2"/>
    <x v="0"/>
    <x v="0"/>
  </r>
  <r>
    <x v="305"/>
    <x v="332"/>
    <x v="16"/>
    <x v="1"/>
    <n v="630"/>
    <n v="70"/>
    <n v="140"/>
    <n v="230"/>
    <n v="60"/>
    <n v="80"/>
    <n v="50"/>
    <x v="2"/>
    <x v="0"/>
    <x v="1"/>
  </r>
  <r>
    <x v="305"/>
    <x v="333"/>
    <x v="16"/>
    <x v="11"/>
    <n v="530"/>
    <n v="70"/>
    <n v="110"/>
    <n v="180"/>
    <n v="60"/>
    <n v="60"/>
    <n v="50"/>
    <x v="2"/>
    <x v="0"/>
    <x v="0"/>
  </r>
  <r>
    <x v="306"/>
    <x v="334"/>
    <x v="9"/>
    <x v="8"/>
    <n v="280"/>
    <n v="30"/>
    <n v="40"/>
    <n v="55"/>
    <n v="40"/>
    <n v="55"/>
    <n v="60"/>
    <x v="2"/>
    <x v="0"/>
    <x v="0"/>
  </r>
  <r>
    <x v="307"/>
    <x v="335"/>
    <x v="9"/>
    <x v="8"/>
    <n v="410"/>
    <n v="60"/>
    <n v="60"/>
    <n v="75"/>
    <n v="60"/>
    <n v="75"/>
    <n v="80"/>
    <x v="2"/>
    <x v="0"/>
    <x v="0"/>
  </r>
  <r>
    <x v="307"/>
    <x v="336"/>
    <x v="9"/>
    <x v="8"/>
    <n v="510"/>
    <n v="60"/>
    <n v="100"/>
    <n v="85"/>
    <n v="80"/>
    <n v="85"/>
    <n v="100"/>
    <x v="2"/>
    <x v="0"/>
    <x v="1"/>
  </r>
  <r>
    <x v="308"/>
    <x v="337"/>
    <x v="6"/>
    <x v="1"/>
    <n v="295"/>
    <n v="40"/>
    <n v="45"/>
    <n v="40"/>
    <n v="65"/>
    <n v="40"/>
    <n v="65"/>
    <x v="2"/>
    <x v="0"/>
    <x v="0"/>
  </r>
  <r>
    <x v="309"/>
    <x v="338"/>
    <x v="6"/>
    <x v="1"/>
    <n v="575"/>
    <n v="70"/>
    <n v="75"/>
    <n v="80"/>
    <n v="135"/>
    <n v="80"/>
    <n v="135"/>
    <x v="2"/>
    <x v="0"/>
    <x v="1"/>
  </r>
  <r>
    <x v="309"/>
    <x v="339"/>
    <x v="6"/>
    <x v="1"/>
    <n v="475"/>
    <n v="70"/>
    <n v="75"/>
    <n v="60"/>
    <n v="105"/>
    <n v="60"/>
    <n v="105"/>
    <x v="2"/>
    <x v="0"/>
    <x v="0"/>
  </r>
  <r>
    <x v="310"/>
    <x v="340"/>
    <x v="6"/>
    <x v="1"/>
    <n v="405"/>
    <n v="60"/>
    <n v="50"/>
    <n v="40"/>
    <n v="85"/>
    <n v="75"/>
    <n v="95"/>
    <x v="2"/>
    <x v="0"/>
    <x v="0"/>
  </r>
  <r>
    <x v="311"/>
    <x v="341"/>
    <x v="6"/>
    <x v="1"/>
    <n v="405"/>
    <n v="60"/>
    <n v="40"/>
    <n v="50"/>
    <n v="75"/>
    <n v="85"/>
    <n v="95"/>
    <x v="2"/>
    <x v="0"/>
    <x v="0"/>
  </r>
  <r>
    <x v="312"/>
    <x v="342"/>
    <x v="3"/>
    <x v="1"/>
    <n v="400"/>
    <n v="65"/>
    <n v="73"/>
    <n v="55"/>
    <n v="47"/>
    <n v="75"/>
    <n v="85"/>
    <x v="2"/>
    <x v="0"/>
    <x v="0"/>
  </r>
  <r>
    <x v="313"/>
    <x v="343"/>
    <x v="3"/>
    <x v="1"/>
    <n v="400"/>
    <n v="65"/>
    <n v="47"/>
    <n v="55"/>
    <n v="73"/>
    <n v="75"/>
    <n v="85"/>
    <x v="2"/>
    <x v="0"/>
    <x v="0"/>
  </r>
  <r>
    <x v="314"/>
    <x v="344"/>
    <x v="0"/>
    <x v="0"/>
    <n v="400"/>
    <n v="50"/>
    <n v="60"/>
    <n v="45"/>
    <n v="100"/>
    <n v="80"/>
    <n v="65"/>
    <x v="2"/>
    <x v="0"/>
    <x v="0"/>
  </r>
  <r>
    <x v="315"/>
    <x v="345"/>
    <x v="5"/>
    <x v="1"/>
    <n v="302"/>
    <n v="70"/>
    <n v="43"/>
    <n v="53"/>
    <n v="43"/>
    <n v="53"/>
    <n v="40"/>
    <x v="2"/>
    <x v="0"/>
    <x v="0"/>
  </r>
  <r>
    <x v="316"/>
    <x v="346"/>
    <x v="5"/>
    <x v="1"/>
    <n v="467"/>
    <n v="100"/>
    <n v="73"/>
    <n v="83"/>
    <n v="73"/>
    <n v="83"/>
    <n v="55"/>
    <x v="2"/>
    <x v="0"/>
    <x v="0"/>
  </r>
  <r>
    <x v="317"/>
    <x v="347"/>
    <x v="2"/>
    <x v="12"/>
    <n v="305"/>
    <n v="45"/>
    <n v="90"/>
    <n v="20"/>
    <n v="65"/>
    <n v="20"/>
    <n v="65"/>
    <x v="2"/>
    <x v="0"/>
    <x v="0"/>
  </r>
  <r>
    <x v="318"/>
    <x v="348"/>
    <x v="2"/>
    <x v="12"/>
    <n v="560"/>
    <n v="70"/>
    <n v="140"/>
    <n v="70"/>
    <n v="110"/>
    <n v="65"/>
    <n v="105"/>
    <x v="2"/>
    <x v="0"/>
    <x v="1"/>
  </r>
  <r>
    <x v="318"/>
    <x v="349"/>
    <x v="2"/>
    <x v="12"/>
    <n v="460"/>
    <n v="70"/>
    <n v="120"/>
    <n v="40"/>
    <n v="95"/>
    <n v="40"/>
    <n v="95"/>
    <x v="2"/>
    <x v="0"/>
    <x v="0"/>
  </r>
  <r>
    <x v="319"/>
    <x v="350"/>
    <x v="2"/>
    <x v="1"/>
    <n v="400"/>
    <n v="130"/>
    <n v="70"/>
    <n v="35"/>
    <n v="70"/>
    <n v="35"/>
    <n v="60"/>
    <x v="2"/>
    <x v="0"/>
    <x v="0"/>
  </r>
  <r>
    <x v="320"/>
    <x v="351"/>
    <x v="2"/>
    <x v="1"/>
    <n v="500"/>
    <n v="170"/>
    <n v="90"/>
    <n v="45"/>
    <n v="90"/>
    <n v="45"/>
    <n v="60"/>
    <x v="2"/>
    <x v="0"/>
    <x v="0"/>
  </r>
  <r>
    <x v="321"/>
    <x v="352"/>
    <x v="1"/>
    <x v="4"/>
    <n v="305"/>
    <n v="60"/>
    <n v="60"/>
    <n v="40"/>
    <n v="65"/>
    <n v="45"/>
    <n v="35"/>
    <x v="2"/>
    <x v="0"/>
    <x v="0"/>
  </r>
  <r>
    <x v="322"/>
    <x v="353"/>
    <x v="1"/>
    <x v="4"/>
    <n v="560"/>
    <n v="70"/>
    <n v="120"/>
    <n v="100"/>
    <n v="145"/>
    <n v="105"/>
    <n v="20"/>
    <x v="2"/>
    <x v="0"/>
    <x v="1"/>
  </r>
  <r>
    <x v="322"/>
    <x v="354"/>
    <x v="1"/>
    <x v="4"/>
    <n v="460"/>
    <n v="70"/>
    <n v="100"/>
    <n v="70"/>
    <n v="105"/>
    <n v="75"/>
    <n v="40"/>
    <x v="2"/>
    <x v="0"/>
    <x v="0"/>
  </r>
  <r>
    <x v="323"/>
    <x v="355"/>
    <x v="1"/>
    <x v="1"/>
    <n v="470"/>
    <n v="70"/>
    <n v="85"/>
    <n v="140"/>
    <n v="85"/>
    <n v="70"/>
    <n v="20"/>
    <x v="2"/>
    <x v="0"/>
    <x v="0"/>
  </r>
  <r>
    <x v="324"/>
    <x v="356"/>
    <x v="10"/>
    <x v="1"/>
    <n v="330"/>
    <n v="60"/>
    <n v="25"/>
    <n v="35"/>
    <n v="70"/>
    <n v="80"/>
    <n v="60"/>
    <x v="2"/>
    <x v="0"/>
    <x v="0"/>
  </r>
  <r>
    <x v="325"/>
    <x v="357"/>
    <x v="10"/>
    <x v="1"/>
    <n v="470"/>
    <n v="80"/>
    <n v="45"/>
    <n v="65"/>
    <n v="90"/>
    <n v="110"/>
    <n v="80"/>
    <x v="2"/>
    <x v="0"/>
    <x v="0"/>
  </r>
  <r>
    <x v="326"/>
    <x v="358"/>
    <x v="4"/>
    <x v="1"/>
    <n v="360"/>
    <n v="60"/>
    <n v="60"/>
    <n v="60"/>
    <n v="60"/>
    <n v="60"/>
    <n v="60"/>
    <x v="2"/>
    <x v="0"/>
    <x v="0"/>
  </r>
  <r>
    <x v="327"/>
    <x v="359"/>
    <x v="7"/>
    <x v="1"/>
    <n v="290"/>
    <n v="45"/>
    <n v="100"/>
    <n v="45"/>
    <n v="45"/>
    <n v="45"/>
    <n v="10"/>
    <x v="2"/>
    <x v="0"/>
    <x v="0"/>
  </r>
  <r>
    <x v="328"/>
    <x v="360"/>
    <x v="7"/>
    <x v="3"/>
    <n v="340"/>
    <n v="50"/>
    <n v="70"/>
    <n v="50"/>
    <n v="50"/>
    <n v="50"/>
    <n v="70"/>
    <x v="2"/>
    <x v="0"/>
    <x v="0"/>
  </r>
  <r>
    <x v="329"/>
    <x v="361"/>
    <x v="7"/>
    <x v="3"/>
    <n v="520"/>
    <n v="80"/>
    <n v="100"/>
    <n v="80"/>
    <n v="80"/>
    <n v="80"/>
    <n v="100"/>
    <x v="2"/>
    <x v="0"/>
    <x v="0"/>
  </r>
  <r>
    <x v="330"/>
    <x v="362"/>
    <x v="0"/>
    <x v="1"/>
    <n v="335"/>
    <n v="50"/>
    <n v="85"/>
    <n v="40"/>
    <n v="85"/>
    <n v="40"/>
    <n v="35"/>
    <x v="2"/>
    <x v="0"/>
    <x v="0"/>
  </r>
  <r>
    <x v="331"/>
    <x v="363"/>
    <x v="0"/>
    <x v="12"/>
    <n v="475"/>
    <n v="70"/>
    <n v="115"/>
    <n v="60"/>
    <n v="115"/>
    <n v="60"/>
    <n v="55"/>
    <x v="2"/>
    <x v="0"/>
    <x v="0"/>
  </r>
  <r>
    <x v="332"/>
    <x v="364"/>
    <x v="4"/>
    <x v="2"/>
    <n v="310"/>
    <n v="45"/>
    <n v="40"/>
    <n v="60"/>
    <n v="40"/>
    <n v="75"/>
    <n v="50"/>
    <x v="2"/>
    <x v="0"/>
    <x v="0"/>
  </r>
  <r>
    <x v="333"/>
    <x v="365"/>
    <x v="14"/>
    <x v="5"/>
    <n v="590"/>
    <n v="75"/>
    <n v="110"/>
    <n v="110"/>
    <n v="110"/>
    <n v="105"/>
    <n v="80"/>
    <x v="2"/>
    <x v="0"/>
    <x v="1"/>
  </r>
  <r>
    <x v="333"/>
    <x v="366"/>
    <x v="14"/>
    <x v="2"/>
    <n v="490"/>
    <n v="75"/>
    <n v="70"/>
    <n v="90"/>
    <n v="70"/>
    <n v="105"/>
    <n v="80"/>
    <x v="2"/>
    <x v="0"/>
    <x v="0"/>
  </r>
  <r>
    <x v="334"/>
    <x v="367"/>
    <x v="4"/>
    <x v="1"/>
    <n v="458"/>
    <n v="73"/>
    <n v="115"/>
    <n v="60"/>
    <n v="60"/>
    <n v="60"/>
    <n v="90"/>
    <x v="2"/>
    <x v="0"/>
    <x v="0"/>
  </r>
  <r>
    <x v="335"/>
    <x v="368"/>
    <x v="5"/>
    <x v="1"/>
    <n v="458"/>
    <n v="73"/>
    <n v="100"/>
    <n v="60"/>
    <n v="100"/>
    <n v="60"/>
    <n v="65"/>
    <x v="2"/>
    <x v="0"/>
    <x v="0"/>
  </r>
  <r>
    <x v="336"/>
    <x v="369"/>
    <x v="11"/>
    <x v="8"/>
    <n v="440"/>
    <n v="70"/>
    <n v="55"/>
    <n v="65"/>
    <n v="95"/>
    <n v="85"/>
    <n v="70"/>
    <x v="2"/>
    <x v="0"/>
    <x v="0"/>
  </r>
  <r>
    <x v="337"/>
    <x v="370"/>
    <x v="11"/>
    <x v="8"/>
    <n v="440"/>
    <n v="70"/>
    <n v="95"/>
    <n v="85"/>
    <n v="55"/>
    <n v="65"/>
    <n v="70"/>
    <x v="2"/>
    <x v="0"/>
    <x v="0"/>
  </r>
  <r>
    <x v="338"/>
    <x v="371"/>
    <x v="2"/>
    <x v="4"/>
    <n v="288"/>
    <n v="50"/>
    <n v="48"/>
    <n v="43"/>
    <n v="46"/>
    <n v="41"/>
    <n v="60"/>
    <x v="2"/>
    <x v="0"/>
    <x v="0"/>
  </r>
  <r>
    <x v="339"/>
    <x v="372"/>
    <x v="2"/>
    <x v="4"/>
    <n v="468"/>
    <n v="110"/>
    <n v="78"/>
    <n v="73"/>
    <n v="76"/>
    <n v="71"/>
    <n v="60"/>
    <x v="2"/>
    <x v="0"/>
    <x v="0"/>
  </r>
  <r>
    <x v="340"/>
    <x v="373"/>
    <x v="2"/>
    <x v="1"/>
    <n v="308"/>
    <n v="43"/>
    <n v="80"/>
    <n v="65"/>
    <n v="50"/>
    <n v="35"/>
    <n v="35"/>
    <x v="2"/>
    <x v="0"/>
    <x v="0"/>
  </r>
  <r>
    <x v="341"/>
    <x v="374"/>
    <x v="2"/>
    <x v="12"/>
    <n v="468"/>
    <n v="63"/>
    <n v="120"/>
    <n v="85"/>
    <n v="90"/>
    <n v="55"/>
    <n v="55"/>
    <x v="2"/>
    <x v="0"/>
    <x v="0"/>
  </r>
  <r>
    <x v="342"/>
    <x v="375"/>
    <x v="7"/>
    <x v="8"/>
    <n v="300"/>
    <n v="40"/>
    <n v="40"/>
    <n v="55"/>
    <n v="40"/>
    <n v="70"/>
    <n v="55"/>
    <x v="2"/>
    <x v="0"/>
    <x v="0"/>
  </r>
  <r>
    <x v="343"/>
    <x v="376"/>
    <x v="7"/>
    <x v="8"/>
    <n v="500"/>
    <n v="60"/>
    <n v="70"/>
    <n v="105"/>
    <n v="70"/>
    <n v="120"/>
    <n v="75"/>
    <x v="2"/>
    <x v="0"/>
    <x v="0"/>
  </r>
  <r>
    <x v="344"/>
    <x v="377"/>
    <x v="11"/>
    <x v="6"/>
    <n v="355"/>
    <n v="66"/>
    <n v="41"/>
    <n v="77"/>
    <n v="61"/>
    <n v="87"/>
    <n v="23"/>
    <x v="2"/>
    <x v="0"/>
    <x v="0"/>
  </r>
  <r>
    <x v="345"/>
    <x v="378"/>
    <x v="11"/>
    <x v="6"/>
    <n v="495"/>
    <n v="86"/>
    <n v="81"/>
    <n v="97"/>
    <n v="81"/>
    <n v="107"/>
    <n v="43"/>
    <x v="2"/>
    <x v="0"/>
    <x v="0"/>
  </r>
  <r>
    <x v="346"/>
    <x v="379"/>
    <x v="11"/>
    <x v="17"/>
    <n v="355"/>
    <n v="45"/>
    <n v="95"/>
    <n v="50"/>
    <n v="40"/>
    <n v="50"/>
    <n v="75"/>
    <x v="2"/>
    <x v="0"/>
    <x v="0"/>
  </r>
  <r>
    <x v="347"/>
    <x v="380"/>
    <x v="11"/>
    <x v="17"/>
    <n v="495"/>
    <n v="75"/>
    <n v="125"/>
    <n v="100"/>
    <n v="70"/>
    <n v="80"/>
    <n v="45"/>
    <x v="2"/>
    <x v="0"/>
    <x v="0"/>
  </r>
  <r>
    <x v="348"/>
    <x v="381"/>
    <x v="2"/>
    <x v="1"/>
    <n v="200"/>
    <n v="20"/>
    <n v="15"/>
    <n v="20"/>
    <n v="10"/>
    <n v="55"/>
    <n v="80"/>
    <x v="2"/>
    <x v="0"/>
    <x v="0"/>
  </r>
  <r>
    <x v="349"/>
    <x v="382"/>
    <x v="2"/>
    <x v="1"/>
    <n v="540"/>
    <n v="95"/>
    <n v="60"/>
    <n v="79"/>
    <n v="100"/>
    <n v="125"/>
    <n v="81"/>
    <x v="2"/>
    <x v="0"/>
    <x v="0"/>
  </r>
  <r>
    <x v="350"/>
    <x v="383"/>
    <x v="4"/>
    <x v="1"/>
    <n v="420"/>
    <n v="70"/>
    <n v="70"/>
    <n v="70"/>
    <n v="70"/>
    <n v="70"/>
    <n v="70"/>
    <x v="2"/>
    <x v="0"/>
    <x v="0"/>
  </r>
  <r>
    <x v="351"/>
    <x v="384"/>
    <x v="4"/>
    <x v="1"/>
    <n v="440"/>
    <n v="60"/>
    <n v="90"/>
    <n v="70"/>
    <n v="60"/>
    <n v="120"/>
    <n v="40"/>
    <x v="2"/>
    <x v="0"/>
    <x v="0"/>
  </r>
  <r>
    <x v="352"/>
    <x v="385"/>
    <x v="12"/>
    <x v="1"/>
    <n v="295"/>
    <n v="44"/>
    <n v="75"/>
    <n v="35"/>
    <n v="63"/>
    <n v="33"/>
    <n v="45"/>
    <x v="2"/>
    <x v="0"/>
    <x v="0"/>
  </r>
  <r>
    <x v="353"/>
    <x v="386"/>
    <x v="12"/>
    <x v="1"/>
    <n v="455"/>
    <n v="64"/>
    <n v="115"/>
    <n v="65"/>
    <n v="83"/>
    <n v="63"/>
    <n v="65"/>
    <x v="2"/>
    <x v="0"/>
    <x v="0"/>
  </r>
  <r>
    <x v="353"/>
    <x v="387"/>
    <x v="12"/>
    <x v="1"/>
    <n v="555"/>
    <n v="64"/>
    <n v="165"/>
    <n v="75"/>
    <n v="93"/>
    <n v="83"/>
    <n v="75"/>
    <x v="2"/>
    <x v="0"/>
    <x v="1"/>
  </r>
  <r>
    <x v="354"/>
    <x v="388"/>
    <x v="12"/>
    <x v="1"/>
    <n v="295"/>
    <n v="20"/>
    <n v="40"/>
    <n v="90"/>
    <n v="30"/>
    <n v="90"/>
    <n v="25"/>
    <x v="2"/>
    <x v="0"/>
    <x v="0"/>
  </r>
  <r>
    <x v="355"/>
    <x v="389"/>
    <x v="12"/>
    <x v="1"/>
    <n v="455"/>
    <n v="40"/>
    <n v="70"/>
    <n v="130"/>
    <n v="60"/>
    <n v="130"/>
    <n v="25"/>
    <x v="2"/>
    <x v="0"/>
    <x v="0"/>
  </r>
  <r>
    <x v="356"/>
    <x v="390"/>
    <x v="0"/>
    <x v="2"/>
    <n v="460"/>
    <n v="99"/>
    <n v="68"/>
    <n v="83"/>
    <n v="72"/>
    <n v="87"/>
    <n v="51"/>
    <x v="2"/>
    <x v="0"/>
    <x v="0"/>
  </r>
  <r>
    <x v="357"/>
    <x v="391"/>
    <x v="10"/>
    <x v="1"/>
    <n v="425"/>
    <n v="65"/>
    <n v="50"/>
    <n v="70"/>
    <n v="95"/>
    <n v="80"/>
    <n v="65"/>
    <x v="2"/>
    <x v="0"/>
    <x v="0"/>
  </r>
  <r>
    <x v="358"/>
    <x v="392"/>
    <x v="15"/>
    <x v="1"/>
    <n v="565"/>
    <n v="65"/>
    <n v="150"/>
    <n v="60"/>
    <n v="115"/>
    <n v="60"/>
    <n v="115"/>
    <x v="2"/>
    <x v="0"/>
    <x v="1"/>
  </r>
  <r>
    <x v="358"/>
    <x v="393"/>
    <x v="15"/>
    <x v="1"/>
    <n v="465"/>
    <n v="65"/>
    <n v="130"/>
    <n v="60"/>
    <n v="75"/>
    <n v="60"/>
    <n v="75"/>
    <x v="2"/>
    <x v="0"/>
    <x v="0"/>
  </r>
  <r>
    <x v="359"/>
    <x v="394"/>
    <x v="10"/>
    <x v="1"/>
    <n v="260"/>
    <n v="95"/>
    <n v="23"/>
    <n v="48"/>
    <n v="23"/>
    <n v="48"/>
    <n v="23"/>
    <x v="2"/>
    <x v="0"/>
    <x v="0"/>
  </r>
  <r>
    <x v="360"/>
    <x v="395"/>
    <x v="13"/>
    <x v="1"/>
    <n v="300"/>
    <n v="50"/>
    <n v="50"/>
    <n v="50"/>
    <n v="50"/>
    <n v="50"/>
    <n v="50"/>
    <x v="2"/>
    <x v="0"/>
    <x v="0"/>
  </r>
  <r>
    <x v="361"/>
    <x v="396"/>
    <x v="13"/>
    <x v="1"/>
    <n v="580"/>
    <n v="80"/>
    <n v="120"/>
    <n v="80"/>
    <n v="120"/>
    <n v="80"/>
    <n v="100"/>
    <x v="2"/>
    <x v="0"/>
    <x v="1"/>
  </r>
  <r>
    <x v="361"/>
    <x v="397"/>
    <x v="13"/>
    <x v="1"/>
    <n v="480"/>
    <n v="80"/>
    <n v="80"/>
    <n v="80"/>
    <n v="80"/>
    <n v="80"/>
    <n v="80"/>
    <x v="2"/>
    <x v="0"/>
    <x v="0"/>
  </r>
  <r>
    <x v="362"/>
    <x v="398"/>
    <x v="13"/>
    <x v="13"/>
    <n v="290"/>
    <n v="70"/>
    <n v="40"/>
    <n v="50"/>
    <n v="55"/>
    <n v="50"/>
    <n v="25"/>
    <x v="2"/>
    <x v="0"/>
    <x v="0"/>
  </r>
  <r>
    <x v="363"/>
    <x v="399"/>
    <x v="13"/>
    <x v="13"/>
    <n v="410"/>
    <n v="90"/>
    <n v="60"/>
    <n v="70"/>
    <n v="75"/>
    <n v="70"/>
    <n v="45"/>
    <x v="2"/>
    <x v="0"/>
    <x v="0"/>
  </r>
  <r>
    <x v="364"/>
    <x v="400"/>
    <x v="13"/>
    <x v="13"/>
    <n v="530"/>
    <n v="110"/>
    <n v="80"/>
    <n v="90"/>
    <n v="95"/>
    <n v="90"/>
    <n v="65"/>
    <x v="2"/>
    <x v="0"/>
    <x v="0"/>
  </r>
  <r>
    <x v="365"/>
    <x v="401"/>
    <x v="2"/>
    <x v="1"/>
    <n v="345"/>
    <n v="35"/>
    <n v="64"/>
    <n v="85"/>
    <n v="74"/>
    <n v="55"/>
    <n v="32"/>
    <x v="2"/>
    <x v="0"/>
    <x v="0"/>
  </r>
  <r>
    <x v="366"/>
    <x v="402"/>
    <x v="2"/>
    <x v="1"/>
    <n v="485"/>
    <n v="55"/>
    <n v="104"/>
    <n v="105"/>
    <n v="94"/>
    <n v="75"/>
    <n v="52"/>
    <x v="2"/>
    <x v="0"/>
    <x v="0"/>
  </r>
  <r>
    <x v="367"/>
    <x v="403"/>
    <x v="2"/>
    <x v="1"/>
    <n v="485"/>
    <n v="55"/>
    <n v="84"/>
    <n v="105"/>
    <n v="114"/>
    <n v="75"/>
    <n v="52"/>
    <x v="2"/>
    <x v="0"/>
    <x v="0"/>
  </r>
  <r>
    <x v="368"/>
    <x v="404"/>
    <x v="2"/>
    <x v="11"/>
    <n v="485"/>
    <n v="100"/>
    <n v="90"/>
    <n v="130"/>
    <n v="45"/>
    <n v="65"/>
    <n v="55"/>
    <x v="2"/>
    <x v="0"/>
    <x v="0"/>
  </r>
  <r>
    <x v="369"/>
    <x v="405"/>
    <x v="2"/>
    <x v="1"/>
    <n v="330"/>
    <n v="43"/>
    <n v="30"/>
    <n v="55"/>
    <n v="40"/>
    <n v="65"/>
    <n v="97"/>
    <x v="2"/>
    <x v="0"/>
    <x v="0"/>
  </r>
  <r>
    <x v="370"/>
    <x v="406"/>
    <x v="14"/>
    <x v="1"/>
    <n v="300"/>
    <n v="45"/>
    <n v="75"/>
    <n v="60"/>
    <n v="40"/>
    <n v="30"/>
    <n v="50"/>
    <x v="2"/>
    <x v="0"/>
    <x v="0"/>
  </r>
  <r>
    <x v="371"/>
    <x v="407"/>
    <x v="14"/>
    <x v="1"/>
    <n v="420"/>
    <n v="65"/>
    <n v="95"/>
    <n v="100"/>
    <n v="60"/>
    <n v="50"/>
    <n v="50"/>
    <x v="2"/>
    <x v="0"/>
    <x v="0"/>
  </r>
  <r>
    <x v="372"/>
    <x v="408"/>
    <x v="14"/>
    <x v="2"/>
    <n v="600"/>
    <n v="95"/>
    <n v="135"/>
    <n v="80"/>
    <n v="110"/>
    <n v="80"/>
    <n v="100"/>
    <x v="2"/>
    <x v="0"/>
    <x v="0"/>
  </r>
  <r>
    <x v="372"/>
    <x v="409"/>
    <x v="14"/>
    <x v="2"/>
    <n v="700"/>
    <n v="95"/>
    <n v="145"/>
    <n v="130"/>
    <n v="120"/>
    <n v="90"/>
    <n v="120"/>
    <x v="2"/>
    <x v="0"/>
    <x v="1"/>
  </r>
  <r>
    <x v="373"/>
    <x v="410"/>
    <x v="16"/>
    <x v="8"/>
    <n v="300"/>
    <n v="40"/>
    <n v="55"/>
    <n v="80"/>
    <n v="35"/>
    <n v="60"/>
    <n v="30"/>
    <x v="2"/>
    <x v="0"/>
    <x v="0"/>
  </r>
  <r>
    <x v="374"/>
    <x v="411"/>
    <x v="16"/>
    <x v="8"/>
    <n v="420"/>
    <n v="60"/>
    <n v="75"/>
    <n v="100"/>
    <n v="55"/>
    <n v="80"/>
    <n v="50"/>
    <x v="2"/>
    <x v="0"/>
    <x v="0"/>
  </r>
  <r>
    <x v="375"/>
    <x v="412"/>
    <x v="16"/>
    <x v="8"/>
    <n v="700"/>
    <n v="80"/>
    <n v="145"/>
    <n v="150"/>
    <n v="105"/>
    <n v="110"/>
    <n v="110"/>
    <x v="2"/>
    <x v="0"/>
    <x v="1"/>
  </r>
  <r>
    <x v="375"/>
    <x v="413"/>
    <x v="16"/>
    <x v="8"/>
    <n v="600"/>
    <n v="80"/>
    <n v="135"/>
    <n v="130"/>
    <n v="95"/>
    <n v="90"/>
    <n v="70"/>
    <x v="2"/>
    <x v="0"/>
    <x v="0"/>
  </r>
  <r>
    <x v="376"/>
    <x v="414"/>
    <x v="11"/>
    <x v="1"/>
    <n v="580"/>
    <n v="80"/>
    <n v="100"/>
    <n v="200"/>
    <n v="50"/>
    <n v="100"/>
    <n v="50"/>
    <x v="2"/>
    <x v="1"/>
    <x v="0"/>
  </r>
  <r>
    <x v="377"/>
    <x v="415"/>
    <x v="13"/>
    <x v="1"/>
    <n v="580"/>
    <n v="80"/>
    <n v="50"/>
    <n v="100"/>
    <n v="100"/>
    <n v="200"/>
    <n v="50"/>
    <x v="2"/>
    <x v="1"/>
    <x v="0"/>
  </r>
  <r>
    <x v="378"/>
    <x v="416"/>
    <x v="16"/>
    <x v="1"/>
    <n v="580"/>
    <n v="80"/>
    <n v="75"/>
    <n v="150"/>
    <n v="75"/>
    <n v="150"/>
    <n v="50"/>
    <x v="2"/>
    <x v="1"/>
    <x v="0"/>
  </r>
  <r>
    <x v="379"/>
    <x v="417"/>
    <x v="14"/>
    <x v="8"/>
    <n v="600"/>
    <n v="80"/>
    <n v="80"/>
    <n v="90"/>
    <n v="110"/>
    <n v="130"/>
    <n v="110"/>
    <x v="2"/>
    <x v="1"/>
    <x v="0"/>
  </r>
  <r>
    <x v="379"/>
    <x v="418"/>
    <x v="14"/>
    <x v="8"/>
    <n v="700"/>
    <n v="80"/>
    <n v="100"/>
    <n v="120"/>
    <n v="140"/>
    <n v="150"/>
    <n v="110"/>
    <x v="2"/>
    <x v="1"/>
    <x v="1"/>
  </r>
  <r>
    <x v="380"/>
    <x v="419"/>
    <x v="14"/>
    <x v="8"/>
    <n v="700"/>
    <n v="80"/>
    <n v="130"/>
    <n v="100"/>
    <n v="160"/>
    <n v="120"/>
    <n v="110"/>
    <x v="2"/>
    <x v="1"/>
    <x v="1"/>
  </r>
  <r>
    <x v="380"/>
    <x v="420"/>
    <x v="14"/>
    <x v="8"/>
    <n v="600"/>
    <n v="80"/>
    <n v="90"/>
    <n v="80"/>
    <n v="130"/>
    <n v="110"/>
    <n v="110"/>
    <x v="2"/>
    <x v="1"/>
    <x v="0"/>
  </r>
  <r>
    <x v="381"/>
    <x v="421"/>
    <x v="2"/>
    <x v="1"/>
    <n v="770"/>
    <n v="100"/>
    <n v="150"/>
    <n v="90"/>
    <n v="180"/>
    <n v="160"/>
    <n v="90"/>
    <x v="2"/>
    <x v="1"/>
    <x v="0"/>
  </r>
  <r>
    <x v="381"/>
    <x v="422"/>
    <x v="2"/>
    <x v="1"/>
    <n v="670"/>
    <n v="100"/>
    <n v="100"/>
    <n v="90"/>
    <n v="150"/>
    <n v="140"/>
    <n v="90"/>
    <x v="2"/>
    <x v="1"/>
    <x v="0"/>
  </r>
  <r>
    <x v="382"/>
    <x v="423"/>
    <x v="7"/>
    <x v="15"/>
    <n v="770"/>
    <n v="100"/>
    <n v="180"/>
    <n v="160"/>
    <n v="150"/>
    <n v="90"/>
    <n v="90"/>
    <x v="2"/>
    <x v="1"/>
    <x v="0"/>
  </r>
  <r>
    <x v="382"/>
    <x v="424"/>
    <x v="7"/>
    <x v="1"/>
    <n v="670"/>
    <n v="100"/>
    <n v="150"/>
    <n v="140"/>
    <n v="100"/>
    <n v="90"/>
    <n v="90"/>
    <x v="2"/>
    <x v="1"/>
    <x v="0"/>
  </r>
  <r>
    <x v="383"/>
    <x v="425"/>
    <x v="14"/>
    <x v="2"/>
    <n v="780"/>
    <n v="105"/>
    <n v="180"/>
    <n v="100"/>
    <n v="180"/>
    <n v="100"/>
    <n v="115"/>
    <x v="2"/>
    <x v="1"/>
    <x v="1"/>
  </r>
  <r>
    <x v="383"/>
    <x v="426"/>
    <x v="14"/>
    <x v="2"/>
    <n v="680"/>
    <n v="105"/>
    <n v="150"/>
    <n v="90"/>
    <n v="150"/>
    <n v="90"/>
    <n v="95"/>
    <x v="2"/>
    <x v="1"/>
    <x v="0"/>
  </r>
  <r>
    <x v="384"/>
    <x v="427"/>
    <x v="16"/>
    <x v="8"/>
    <n v="600"/>
    <n v="100"/>
    <n v="100"/>
    <n v="100"/>
    <n v="100"/>
    <n v="100"/>
    <n v="100"/>
    <x v="2"/>
    <x v="1"/>
    <x v="0"/>
  </r>
  <r>
    <x v="385"/>
    <x v="428"/>
    <x v="10"/>
    <x v="1"/>
    <n v="600"/>
    <n v="50"/>
    <n v="180"/>
    <n v="20"/>
    <n v="180"/>
    <n v="20"/>
    <n v="150"/>
    <x v="2"/>
    <x v="1"/>
    <x v="0"/>
  </r>
  <r>
    <x v="385"/>
    <x v="429"/>
    <x v="10"/>
    <x v="1"/>
    <n v="600"/>
    <n v="50"/>
    <n v="95"/>
    <n v="90"/>
    <n v="95"/>
    <n v="90"/>
    <n v="180"/>
    <x v="2"/>
    <x v="1"/>
    <x v="0"/>
  </r>
  <r>
    <x v="385"/>
    <x v="430"/>
    <x v="10"/>
    <x v="1"/>
    <n v="600"/>
    <n v="50"/>
    <n v="70"/>
    <n v="160"/>
    <n v="70"/>
    <n v="160"/>
    <n v="90"/>
    <x v="2"/>
    <x v="1"/>
    <x v="0"/>
  </r>
  <r>
    <x v="385"/>
    <x v="431"/>
    <x v="10"/>
    <x v="1"/>
    <n v="600"/>
    <n v="50"/>
    <n v="150"/>
    <n v="50"/>
    <n v="150"/>
    <n v="50"/>
    <n v="150"/>
    <x v="2"/>
    <x v="1"/>
    <x v="0"/>
  </r>
  <r>
    <x v="386"/>
    <x v="432"/>
    <x v="0"/>
    <x v="1"/>
    <n v="318"/>
    <n v="55"/>
    <n v="68"/>
    <n v="64"/>
    <n v="45"/>
    <n v="55"/>
    <n v="31"/>
    <x v="3"/>
    <x v="0"/>
    <x v="0"/>
  </r>
  <r>
    <x v="387"/>
    <x v="433"/>
    <x v="0"/>
    <x v="1"/>
    <n v="405"/>
    <n v="75"/>
    <n v="89"/>
    <n v="85"/>
    <n v="55"/>
    <n v="65"/>
    <n v="36"/>
    <x v="3"/>
    <x v="0"/>
    <x v="0"/>
  </r>
  <r>
    <x v="388"/>
    <x v="434"/>
    <x v="0"/>
    <x v="4"/>
    <n v="525"/>
    <n v="95"/>
    <n v="109"/>
    <n v="105"/>
    <n v="75"/>
    <n v="85"/>
    <n v="56"/>
    <x v="3"/>
    <x v="0"/>
    <x v="0"/>
  </r>
  <r>
    <x v="389"/>
    <x v="435"/>
    <x v="1"/>
    <x v="1"/>
    <n v="309"/>
    <n v="44"/>
    <n v="58"/>
    <n v="44"/>
    <n v="58"/>
    <n v="44"/>
    <n v="61"/>
    <x v="3"/>
    <x v="0"/>
    <x v="0"/>
  </r>
  <r>
    <x v="390"/>
    <x v="436"/>
    <x v="1"/>
    <x v="7"/>
    <n v="405"/>
    <n v="64"/>
    <n v="78"/>
    <n v="52"/>
    <n v="78"/>
    <n v="52"/>
    <n v="81"/>
    <x v="3"/>
    <x v="0"/>
    <x v="0"/>
  </r>
  <r>
    <x v="391"/>
    <x v="437"/>
    <x v="1"/>
    <x v="7"/>
    <n v="534"/>
    <n v="76"/>
    <n v="104"/>
    <n v="71"/>
    <n v="104"/>
    <n v="71"/>
    <n v="108"/>
    <x v="3"/>
    <x v="0"/>
    <x v="0"/>
  </r>
  <r>
    <x v="392"/>
    <x v="438"/>
    <x v="2"/>
    <x v="1"/>
    <n v="314"/>
    <n v="53"/>
    <n v="51"/>
    <n v="53"/>
    <n v="61"/>
    <n v="56"/>
    <n v="40"/>
    <x v="3"/>
    <x v="0"/>
    <x v="0"/>
  </r>
  <r>
    <x v="393"/>
    <x v="439"/>
    <x v="2"/>
    <x v="1"/>
    <n v="405"/>
    <n v="64"/>
    <n v="66"/>
    <n v="68"/>
    <n v="81"/>
    <n v="76"/>
    <n v="50"/>
    <x v="3"/>
    <x v="0"/>
    <x v="0"/>
  </r>
  <r>
    <x v="394"/>
    <x v="440"/>
    <x v="2"/>
    <x v="9"/>
    <n v="530"/>
    <n v="84"/>
    <n v="86"/>
    <n v="88"/>
    <n v="111"/>
    <n v="101"/>
    <n v="60"/>
    <x v="3"/>
    <x v="0"/>
    <x v="0"/>
  </r>
  <r>
    <x v="395"/>
    <x v="441"/>
    <x v="4"/>
    <x v="2"/>
    <n v="245"/>
    <n v="40"/>
    <n v="55"/>
    <n v="30"/>
    <n v="30"/>
    <n v="30"/>
    <n v="60"/>
    <x v="3"/>
    <x v="0"/>
    <x v="0"/>
  </r>
  <r>
    <x v="396"/>
    <x v="442"/>
    <x v="4"/>
    <x v="2"/>
    <n v="340"/>
    <n v="55"/>
    <n v="75"/>
    <n v="50"/>
    <n v="40"/>
    <n v="40"/>
    <n v="80"/>
    <x v="3"/>
    <x v="0"/>
    <x v="0"/>
  </r>
  <r>
    <x v="397"/>
    <x v="443"/>
    <x v="4"/>
    <x v="2"/>
    <n v="485"/>
    <n v="85"/>
    <n v="120"/>
    <n v="70"/>
    <n v="50"/>
    <n v="60"/>
    <n v="100"/>
    <x v="3"/>
    <x v="0"/>
    <x v="0"/>
  </r>
  <r>
    <x v="398"/>
    <x v="444"/>
    <x v="4"/>
    <x v="1"/>
    <n v="250"/>
    <n v="59"/>
    <n v="45"/>
    <n v="40"/>
    <n v="35"/>
    <n v="40"/>
    <n v="31"/>
    <x v="3"/>
    <x v="0"/>
    <x v="0"/>
  </r>
  <r>
    <x v="399"/>
    <x v="445"/>
    <x v="4"/>
    <x v="13"/>
    <n v="410"/>
    <n v="79"/>
    <n v="85"/>
    <n v="60"/>
    <n v="55"/>
    <n v="60"/>
    <n v="71"/>
    <x v="3"/>
    <x v="0"/>
    <x v="0"/>
  </r>
  <r>
    <x v="400"/>
    <x v="446"/>
    <x v="3"/>
    <x v="1"/>
    <n v="194"/>
    <n v="37"/>
    <n v="25"/>
    <n v="41"/>
    <n v="25"/>
    <n v="41"/>
    <n v="25"/>
    <x v="3"/>
    <x v="0"/>
    <x v="0"/>
  </r>
  <r>
    <x v="401"/>
    <x v="447"/>
    <x v="3"/>
    <x v="1"/>
    <n v="384"/>
    <n v="77"/>
    <n v="85"/>
    <n v="51"/>
    <n v="55"/>
    <n v="51"/>
    <n v="65"/>
    <x v="3"/>
    <x v="0"/>
    <x v="0"/>
  </r>
  <r>
    <x v="402"/>
    <x v="448"/>
    <x v="6"/>
    <x v="1"/>
    <n v="263"/>
    <n v="45"/>
    <n v="65"/>
    <n v="34"/>
    <n v="40"/>
    <n v="34"/>
    <n v="45"/>
    <x v="3"/>
    <x v="0"/>
    <x v="0"/>
  </r>
  <r>
    <x v="403"/>
    <x v="449"/>
    <x v="6"/>
    <x v="1"/>
    <n v="363"/>
    <n v="60"/>
    <n v="85"/>
    <n v="49"/>
    <n v="60"/>
    <n v="49"/>
    <n v="60"/>
    <x v="3"/>
    <x v="0"/>
    <x v="0"/>
  </r>
  <r>
    <x v="404"/>
    <x v="450"/>
    <x v="6"/>
    <x v="1"/>
    <n v="523"/>
    <n v="80"/>
    <n v="120"/>
    <n v="79"/>
    <n v="95"/>
    <n v="79"/>
    <n v="70"/>
    <x v="3"/>
    <x v="0"/>
    <x v="0"/>
  </r>
  <r>
    <x v="405"/>
    <x v="451"/>
    <x v="0"/>
    <x v="0"/>
    <n v="280"/>
    <n v="40"/>
    <n v="30"/>
    <n v="35"/>
    <n v="50"/>
    <n v="70"/>
    <n v="55"/>
    <x v="3"/>
    <x v="0"/>
    <x v="0"/>
  </r>
  <r>
    <x v="406"/>
    <x v="452"/>
    <x v="0"/>
    <x v="0"/>
    <n v="515"/>
    <n v="60"/>
    <n v="70"/>
    <n v="65"/>
    <n v="125"/>
    <n v="105"/>
    <n v="90"/>
    <x v="3"/>
    <x v="0"/>
    <x v="0"/>
  </r>
  <r>
    <x v="407"/>
    <x v="453"/>
    <x v="11"/>
    <x v="1"/>
    <n v="350"/>
    <n v="67"/>
    <n v="125"/>
    <n v="40"/>
    <n v="30"/>
    <n v="30"/>
    <n v="58"/>
    <x v="3"/>
    <x v="0"/>
    <x v="0"/>
  </r>
  <r>
    <x v="408"/>
    <x v="454"/>
    <x v="11"/>
    <x v="1"/>
    <n v="495"/>
    <n v="97"/>
    <n v="165"/>
    <n v="60"/>
    <n v="65"/>
    <n v="50"/>
    <n v="58"/>
    <x v="3"/>
    <x v="0"/>
    <x v="0"/>
  </r>
  <r>
    <x v="409"/>
    <x v="455"/>
    <x v="11"/>
    <x v="9"/>
    <n v="350"/>
    <n v="30"/>
    <n v="42"/>
    <n v="118"/>
    <n v="42"/>
    <n v="88"/>
    <n v="30"/>
    <x v="3"/>
    <x v="0"/>
    <x v="0"/>
  </r>
  <r>
    <x v="410"/>
    <x v="456"/>
    <x v="11"/>
    <x v="9"/>
    <n v="495"/>
    <n v="60"/>
    <n v="52"/>
    <n v="168"/>
    <n v="47"/>
    <n v="138"/>
    <n v="30"/>
    <x v="3"/>
    <x v="0"/>
    <x v="0"/>
  </r>
  <r>
    <x v="411"/>
    <x v="457"/>
    <x v="3"/>
    <x v="1"/>
    <n v="224"/>
    <n v="40"/>
    <n v="29"/>
    <n v="45"/>
    <n v="29"/>
    <n v="45"/>
    <n v="36"/>
    <x v="3"/>
    <x v="0"/>
    <x v="0"/>
  </r>
  <r>
    <x v="412"/>
    <x v="458"/>
    <x v="3"/>
    <x v="9"/>
    <n v="424"/>
    <n v="60"/>
    <n v="69"/>
    <n v="95"/>
    <n v="69"/>
    <n v="95"/>
    <n v="36"/>
    <x v="3"/>
    <x v="0"/>
    <x v="0"/>
  </r>
  <r>
    <x v="412"/>
    <x v="459"/>
    <x v="3"/>
    <x v="6"/>
    <n v="424"/>
    <n v="60"/>
    <n v="59"/>
    <n v="85"/>
    <n v="79"/>
    <n v="105"/>
    <n v="36"/>
    <x v="3"/>
    <x v="0"/>
    <x v="0"/>
  </r>
  <r>
    <x v="412"/>
    <x v="460"/>
    <x v="3"/>
    <x v="4"/>
    <n v="424"/>
    <n v="60"/>
    <n v="79"/>
    <n v="105"/>
    <n v="59"/>
    <n v="85"/>
    <n v="36"/>
    <x v="3"/>
    <x v="0"/>
    <x v="0"/>
  </r>
  <r>
    <x v="413"/>
    <x v="461"/>
    <x v="3"/>
    <x v="2"/>
    <n v="424"/>
    <n v="70"/>
    <n v="94"/>
    <n v="50"/>
    <n v="94"/>
    <n v="50"/>
    <n v="66"/>
    <x v="3"/>
    <x v="0"/>
    <x v="0"/>
  </r>
  <r>
    <x v="414"/>
    <x v="462"/>
    <x v="3"/>
    <x v="2"/>
    <n v="244"/>
    <n v="30"/>
    <n v="30"/>
    <n v="42"/>
    <n v="30"/>
    <n v="42"/>
    <n v="70"/>
    <x v="3"/>
    <x v="0"/>
    <x v="0"/>
  </r>
  <r>
    <x v="415"/>
    <x v="463"/>
    <x v="3"/>
    <x v="2"/>
    <n v="474"/>
    <n v="70"/>
    <n v="80"/>
    <n v="102"/>
    <n v="80"/>
    <n v="102"/>
    <n v="40"/>
    <x v="3"/>
    <x v="0"/>
    <x v="0"/>
  </r>
  <r>
    <x v="416"/>
    <x v="464"/>
    <x v="6"/>
    <x v="1"/>
    <n v="405"/>
    <n v="60"/>
    <n v="45"/>
    <n v="70"/>
    <n v="45"/>
    <n v="90"/>
    <n v="95"/>
    <x v="3"/>
    <x v="0"/>
    <x v="0"/>
  </r>
  <r>
    <x v="417"/>
    <x v="465"/>
    <x v="2"/>
    <x v="1"/>
    <n v="330"/>
    <n v="55"/>
    <n v="65"/>
    <n v="35"/>
    <n v="60"/>
    <n v="30"/>
    <n v="85"/>
    <x v="3"/>
    <x v="0"/>
    <x v="0"/>
  </r>
  <r>
    <x v="418"/>
    <x v="466"/>
    <x v="2"/>
    <x v="1"/>
    <n v="495"/>
    <n v="85"/>
    <n v="105"/>
    <n v="55"/>
    <n v="85"/>
    <n v="50"/>
    <n v="115"/>
    <x v="3"/>
    <x v="0"/>
    <x v="0"/>
  </r>
  <r>
    <x v="419"/>
    <x v="467"/>
    <x v="0"/>
    <x v="1"/>
    <n v="275"/>
    <n v="45"/>
    <n v="35"/>
    <n v="45"/>
    <n v="62"/>
    <n v="53"/>
    <n v="35"/>
    <x v="3"/>
    <x v="0"/>
    <x v="0"/>
  </r>
  <r>
    <x v="420"/>
    <x v="468"/>
    <x v="0"/>
    <x v="1"/>
    <n v="450"/>
    <n v="70"/>
    <n v="60"/>
    <n v="70"/>
    <n v="87"/>
    <n v="78"/>
    <n v="85"/>
    <x v="3"/>
    <x v="0"/>
    <x v="0"/>
  </r>
  <r>
    <x v="421"/>
    <x v="469"/>
    <x v="2"/>
    <x v="1"/>
    <n v="325"/>
    <n v="76"/>
    <n v="48"/>
    <n v="48"/>
    <n v="57"/>
    <n v="62"/>
    <n v="34"/>
    <x v="3"/>
    <x v="0"/>
    <x v="0"/>
  </r>
  <r>
    <x v="422"/>
    <x v="470"/>
    <x v="2"/>
    <x v="4"/>
    <n v="475"/>
    <n v="111"/>
    <n v="83"/>
    <n v="68"/>
    <n v="92"/>
    <n v="82"/>
    <n v="39"/>
    <x v="3"/>
    <x v="0"/>
    <x v="0"/>
  </r>
  <r>
    <x v="423"/>
    <x v="471"/>
    <x v="4"/>
    <x v="1"/>
    <n v="482"/>
    <n v="75"/>
    <n v="100"/>
    <n v="66"/>
    <n v="60"/>
    <n v="66"/>
    <n v="115"/>
    <x v="3"/>
    <x v="0"/>
    <x v="0"/>
  </r>
  <r>
    <x v="424"/>
    <x v="472"/>
    <x v="12"/>
    <x v="2"/>
    <n v="348"/>
    <n v="90"/>
    <n v="50"/>
    <n v="34"/>
    <n v="60"/>
    <n v="44"/>
    <n v="70"/>
    <x v="3"/>
    <x v="0"/>
    <x v="0"/>
  </r>
  <r>
    <x v="425"/>
    <x v="473"/>
    <x v="12"/>
    <x v="2"/>
    <n v="498"/>
    <n v="150"/>
    <n v="80"/>
    <n v="44"/>
    <n v="90"/>
    <n v="54"/>
    <n v="80"/>
    <x v="3"/>
    <x v="0"/>
    <x v="0"/>
  </r>
  <r>
    <x v="426"/>
    <x v="474"/>
    <x v="4"/>
    <x v="1"/>
    <n v="350"/>
    <n v="55"/>
    <n v="66"/>
    <n v="44"/>
    <n v="44"/>
    <n v="56"/>
    <n v="85"/>
    <x v="3"/>
    <x v="0"/>
    <x v="0"/>
  </r>
  <r>
    <x v="427"/>
    <x v="475"/>
    <x v="4"/>
    <x v="1"/>
    <n v="480"/>
    <n v="65"/>
    <n v="76"/>
    <n v="84"/>
    <n v="54"/>
    <n v="96"/>
    <n v="105"/>
    <x v="3"/>
    <x v="0"/>
    <x v="0"/>
  </r>
  <r>
    <x v="427"/>
    <x v="476"/>
    <x v="4"/>
    <x v="7"/>
    <n v="580"/>
    <n v="65"/>
    <n v="136"/>
    <n v="94"/>
    <n v="54"/>
    <n v="96"/>
    <n v="135"/>
    <x v="3"/>
    <x v="0"/>
    <x v="1"/>
  </r>
  <r>
    <x v="428"/>
    <x v="477"/>
    <x v="12"/>
    <x v="1"/>
    <n v="495"/>
    <n v="60"/>
    <n v="60"/>
    <n v="60"/>
    <n v="105"/>
    <n v="105"/>
    <n v="105"/>
    <x v="3"/>
    <x v="0"/>
    <x v="0"/>
  </r>
  <r>
    <x v="429"/>
    <x v="478"/>
    <x v="15"/>
    <x v="2"/>
    <n v="505"/>
    <n v="100"/>
    <n v="125"/>
    <n v="52"/>
    <n v="105"/>
    <n v="52"/>
    <n v="71"/>
    <x v="3"/>
    <x v="0"/>
    <x v="0"/>
  </r>
  <r>
    <x v="430"/>
    <x v="479"/>
    <x v="4"/>
    <x v="1"/>
    <n v="310"/>
    <n v="49"/>
    <n v="55"/>
    <n v="42"/>
    <n v="42"/>
    <n v="37"/>
    <n v="85"/>
    <x v="3"/>
    <x v="0"/>
    <x v="0"/>
  </r>
  <r>
    <x v="431"/>
    <x v="480"/>
    <x v="4"/>
    <x v="1"/>
    <n v="452"/>
    <n v="71"/>
    <n v="82"/>
    <n v="64"/>
    <n v="64"/>
    <n v="59"/>
    <n v="112"/>
    <x v="3"/>
    <x v="0"/>
    <x v="0"/>
  </r>
  <r>
    <x v="432"/>
    <x v="481"/>
    <x v="10"/>
    <x v="1"/>
    <n v="285"/>
    <n v="45"/>
    <n v="30"/>
    <n v="50"/>
    <n v="65"/>
    <n v="50"/>
    <n v="45"/>
    <x v="3"/>
    <x v="0"/>
    <x v="0"/>
  </r>
  <r>
    <x v="433"/>
    <x v="482"/>
    <x v="5"/>
    <x v="12"/>
    <n v="329"/>
    <n v="63"/>
    <n v="63"/>
    <n v="47"/>
    <n v="41"/>
    <n v="41"/>
    <n v="74"/>
    <x v="3"/>
    <x v="0"/>
    <x v="0"/>
  </r>
  <r>
    <x v="434"/>
    <x v="483"/>
    <x v="5"/>
    <x v="12"/>
    <n v="479"/>
    <n v="103"/>
    <n v="93"/>
    <n v="67"/>
    <n v="71"/>
    <n v="61"/>
    <n v="84"/>
    <x v="3"/>
    <x v="0"/>
    <x v="0"/>
  </r>
  <r>
    <x v="435"/>
    <x v="484"/>
    <x v="16"/>
    <x v="8"/>
    <n v="300"/>
    <n v="57"/>
    <n v="24"/>
    <n v="86"/>
    <n v="24"/>
    <n v="86"/>
    <n v="23"/>
    <x v="3"/>
    <x v="0"/>
    <x v="0"/>
  </r>
  <r>
    <x v="436"/>
    <x v="485"/>
    <x v="16"/>
    <x v="8"/>
    <n v="500"/>
    <n v="67"/>
    <n v="89"/>
    <n v="116"/>
    <n v="79"/>
    <n v="116"/>
    <n v="33"/>
    <x v="3"/>
    <x v="0"/>
    <x v="0"/>
  </r>
  <r>
    <x v="437"/>
    <x v="486"/>
    <x v="11"/>
    <x v="1"/>
    <n v="290"/>
    <n v="50"/>
    <n v="80"/>
    <n v="95"/>
    <n v="10"/>
    <n v="45"/>
    <n v="10"/>
    <x v="3"/>
    <x v="0"/>
    <x v="0"/>
  </r>
  <r>
    <x v="438"/>
    <x v="487"/>
    <x v="10"/>
    <x v="5"/>
    <n v="310"/>
    <n v="20"/>
    <n v="25"/>
    <n v="45"/>
    <n v="70"/>
    <n v="90"/>
    <n v="60"/>
    <x v="3"/>
    <x v="0"/>
    <x v="0"/>
  </r>
  <r>
    <x v="439"/>
    <x v="488"/>
    <x v="4"/>
    <x v="1"/>
    <n v="220"/>
    <n v="100"/>
    <n v="5"/>
    <n v="5"/>
    <n v="15"/>
    <n v="65"/>
    <n v="30"/>
    <x v="3"/>
    <x v="0"/>
    <x v="0"/>
  </r>
  <r>
    <x v="440"/>
    <x v="489"/>
    <x v="4"/>
    <x v="2"/>
    <n v="411"/>
    <n v="76"/>
    <n v="65"/>
    <n v="45"/>
    <n v="92"/>
    <n v="42"/>
    <n v="91"/>
    <x v="3"/>
    <x v="0"/>
    <x v="0"/>
  </r>
  <r>
    <x v="441"/>
    <x v="490"/>
    <x v="12"/>
    <x v="12"/>
    <n v="485"/>
    <n v="50"/>
    <n v="92"/>
    <n v="108"/>
    <n v="92"/>
    <n v="108"/>
    <n v="35"/>
    <x v="3"/>
    <x v="0"/>
    <x v="0"/>
  </r>
  <r>
    <x v="442"/>
    <x v="491"/>
    <x v="14"/>
    <x v="4"/>
    <n v="300"/>
    <n v="58"/>
    <n v="70"/>
    <n v="45"/>
    <n v="40"/>
    <n v="45"/>
    <n v="42"/>
    <x v="3"/>
    <x v="0"/>
    <x v="0"/>
  </r>
  <r>
    <x v="443"/>
    <x v="492"/>
    <x v="14"/>
    <x v="4"/>
    <n v="410"/>
    <n v="68"/>
    <n v="90"/>
    <n v="65"/>
    <n v="50"/>
    <n v="55"/>
    <n v="82"/>
    <x v="3"/>
    <x v="0"/>
    <x v="0"/>
  </r>
  <r>
    <x v="444"/>
    <x v="493"/>
    <x v="14"/>
    <x v="4"/>
    <n v="600"/>
    <n v="108"/>
    <n v="130"/>
    <n v="95"/>
    <n v="80"/>
    <n v="85"/>
    <n v="102"/>
    <x v="3"/>
    <x v="0"/>
    <x v="0"/>
  </r>
  <r>
    <x v="444"/>
    <x v="494"/>
    <x v="14"/>
    <x v="4"/>
    <n v="700"/>
    <n v="108"/>
    <n v="170"/>
    <n v="115"/>
    <n v="120"/>
    <n v="95"/>
    <n v="92"/>
    <x v="3"/>
    <x v="0"/>
    <x v="1"/>
  </r>
  <r>
    <x v="445"/>
    <x v="495"/>
    <x v="4"/>
    <x v="1"/>
    <n v="390"/>
    <n v="135"/>
    <n v="85"/>
    <n v="40"/>
    <n v="40"/>
    <n v="85"/>
    <n v="5"/>
    <x v="3"/>
    <x v="0"/>
    <x v="0"/>
  </r>
  <r>
    <x v="446"/>
    <x v="496"/>
    <x v="9"/>
    <x v="1"/>
    <n v="285"/>
    <n v="40"/>
    <n v="70"/>
    <n v="40"/>
    <n v="35"/>
    <n v="40"/>
    <n v="60"/>
    <x v="3"/>
    <x v="0"/>
    <x v="0"/>
  </r>
  <r>
    <x v="447"/>
    <x v="497"/>
    <x v="9"/>
    <x v="9"/>
    <n v="625"/>
    <n v="70"/>
    <n v="145"/>
    <n v="88"/>
    <n v="140"/>
    <n v="70"/>
    <n v="112"/>
    <x v="3"/>
    <x v="0"/>
    <x v="1"/>
  </r>
  <r>
    <x v="447"/>
    <x v="498"/>
    <x v="9"/>
    <x v="9"/>
    <n v="525"/>
    <n v="70"/>
    <n v="110"/>
    <n v="70"/>
    <n v="115"/>
    <n v="70"/>
    <n v="90"/>
    <x v="3"/>
    <x v="0"/>
    <x v="0"/>
  </r>
  <r>
    <x v="448"/>
    <x v="499"/>
    <x v="7"/>
    <x v="1"/>
    <n v="330"/>
    <n v="68"/>
    <n v="72"/>
    <n v="78"/>
    <n v="38"/>
    <n v="42"/>
    <n v="32"/>
    <x v="3"/>
    <x v="0"/>
    <x v="0"/>
  </r>
  <r>
    <x v="449"/>
    <x v="500"/>
    <x v="7"/>
    <x v="1"/>
    <n v="525"/>
    <n v="108"/>
    <n v="112"/>
    <n v="118"/>
    <n v="68"/>
    <n v="72"/>
    <n v="47"/>
    <x v="3"/>
    <x v="0"/>
    <x v="0"/>
  </r>
  <r>
    <x v="450"/>
    <x v="501"/>
    <x v="5"/>
    <x v="17"/>
    <n v="330"/>
    <n v="40"/>
    <n v="50"/>
    <n v="90"/>
    <n v="30"/>
    <n v="55"/>
    <n v="65"/>
    <x v="3"/>
    <x v="0"/>
    <x v="0"/>
  </r>
  <r>
    <x v="451"/>
    <x v="502"/>
    <x v="5"/>
    <x v="12"/>
    <n v="500"/>
    <n v="70"/>
    <n v="90"/>
    <n v="110"/>
    <n v="60"/>
    <n v="75"/>
    <n v="95"/>
    <x v="3"/>
    <x v="0"/>
    <x v="0"/>
  </r>
  <r>
    <x v="452"/>
    <x v="503"/>
    <x v="5"/>
    <x v="7"/>
    <n v="300"/>
    <n v="48"/>
    <n v="61"/>
    <n v="40"/>
    <n v="61"/>
    <n v="40"/>
    <n v="50"/>
    <x v="3"/>
    <x v="0"/>
    <x v="0"/>
  </r>
  <r>
    <x v="453"/>
    <x v="504"/>
    <x v="5"/>
    <x v="7"/>
    <n v="490"/>
    <n v="83"/>
    <n v="106"/>
    <n v="65"/>
    <n v="86"/>
    <n v="65"/>
    <n v="85"/>
    <x v="3"/>
    <x v="0"/>
    <x v="0"/>
  </r>
  <r>
    <x v="454"/>
    <x v="505"/>
    <x v="0"/>
    <x v="1"/>
    <n v="454"/>
    <n v="74"/>
    <n v="100"/>
    <n v="72"/>
    <n v="90"/>
    <n v="72"/>
    <n v="46"/>
    <x v="3"/>
    <x v="0"/>
    <x v="0"/>
  </r>
  <r>
    <x v="455"/>
    <x v="506"/>
    <x v="2"/>
    <x v="1"/>
    <n v="330"/>
    <n v="49"/>
    <n v="49"/>
    <n v="56"/>
    <n v="49"/>
    <n v="61"/>
    <n v="66"/>
    <x v="3"/>
    <x v="0"/>
    <x v="0"/>
  </r>
  <r>
    <x v="456"/>
    <x v="507"/>
    <x v="2"/>
    <x v="1"/>
    <n v="460"/>
    <n v="69"/>
    <n v="69"/>
    <n v="76"/>
    <n v="69"/>
    <n v="86"/>
    <n v="91"/>
    <x v="3"/>
    <x v="0"/>
    <x v="0"/>
  </r>
  <r>
    <x v="457"/>
    <x v="508"/>
    <x v="2"/>
    <x v="2"/>
    <n v="345"/>
    <n v="45"/>
    <n v="20"/>
    <n v="50"/>
    <n v="60"/>
    <n v="120"/>
    <n v="50"/>
    <x v="3"/>
    <x v="0"/>
    <x v="0"/>
  </r>
  <r>
    <x v="458"/>
    <x v="509"/>
    <x v="0"/>
    <x v="10"/>
    <n v="334"/>
    <n v="60"/>
    <n v="62"/>
    <n v="50"/>
    <n v="62"/>
    <n v="60"/>
    <n v="40"/>
    <x v="3"/>
    <x v="0"/>
    <x v="0"/>
  </r>
  <r>
    <x v="459"/>
    <x v="510"/>
    <x v="0"/>
    <x v="10"/>
    <n v="594"/>
    <n v="90"/>
    <n v="132"/>
    <n v="105"/>
    <n v="132"/>
    <n v="105"/>
    <n v="30"/>
    <x v="3"/>
    <x v="0"/>
    <x v="1"/>
  </r>
  <r>
    <x v="459"/>
    <x v="511"/>
    <x v="0"/>
    <x v="10"/>
    <n v="494"/>
    <n v="90"/>
    <n v="92"/>
    <n v="75"/>
    <n v="92"/>
    <n v="85"/>
    <n v="60"/>
    <x v="3"/>
    <x v="0"/>
    <x v="0"/>
  </r>
  <r>
    <x v="460"/>
    <x v="512"/>
    <x v="15"/>
    <x v="10"/>
    <n v="510"/>
    <n v="70"/>
    <n v="120"/>
    <n v="65"/>
    <n v="45"/>
    <n v="85"/>
    <n v="125"/>
    <x v="3"/>
    <x v="0"/>
    <x v="0"/>
  </r>
  <r>
    <x v="461"/>
    <x v="513"/>
    <x v="6"/>
    <x v="9"/>
    <n v="535"/>
    <n v="70"/>
    <n v="70"/>
    <n v="115"/>
    <n v="130"/>
    <n v="90"/>
    <n v="60"/>
    <x v="3"/>
    <x v="0"/>
    <x v="0"/>
  </r>
  <r>
    <x v="462"/>
    <x v="514"/>
    <x v="4"/>
    <x v="1"/>
    <n v="515"/>
    <n v="110"/>
    <n v="85"/>
    <n v="95"/>
    <n v="80"/>
    <n v="95"/>
    <n v="50"/>
    <x v="3"/>
    <x v="0"/>
    <x v="0"/>
  </r>
  <r>
    <x v="463"/>
    <x v="515"/>
    <x v="7"/>
    <x v="11"/>
    <n v="535"/>
    <n v="115"/>
    <n v="140"/>
    <n v="130"/>
    <n v="55"/>
    <n v="55"/>
    <n v="40"/>
    <x v="3"/>
    <x v="0"/>
    <x v="0"/>
  </r>
  <r>
    <x v="464"/>
    <x v="516"/>
    <x v="0"/>
    <x v="1"/>
    <n v="535"/>
    <n v="100"/>
    <n v="100"/>
    <n v="125"/>
    <n v="110"/>
    <n v="50"/>
    <n v="50"/>
    <x v="3"/>
    <x v="0"/>
    <x v="0"/>
  </r>
  <r>
    <x v="465"/>
    <x v="517"/>
    <x v="6"/>
    <x v="1"/>
    <n v="540"/>
    <n v="75"/>
    <n v="123"/>
    <n v="67"/>
    <n v="95"/>
    <n v="85"/>
    <n v="95"/>
    <x v="3"/>
    <x v="0"/>
    <x v="0"/>
  </r>
  <r>
    <x v="466"/>
    <x v="518"/>
    <x v="1"/>
    <x v="1"/>
    <n v="540"/>
    <n v="75"/>
    <n v="95"/>
    <n v="67"/>
    <n v="125"/>
    <n v="95"/>
    <n v="83"/>
    <x v="3"/>
    <x v="0"/>
    <x v="0"/>
  </r>
  <r>
    <x v="467"/>
    <x v="519"/>
    <x v="8"/>
    <x v="2"/>
    <n v="545"/>
    <n v="85"/>
    <n v="50"/>
    <n v="95"/>
    <n v="120"/>
    <n v="115"/>
    <n v="80"/>
    <x v="3"/>
    <x v="0"/>
    <x v="0"/>
  </r>
  <r>
    <x v="468"/>
    <x v="520"/>
    <x v="3"/>
    <x v="2"/>
    <n v="515"/>
    <n v="86"/>
    <n v="76"/>
    <n v="86"/>
    <n v="116"/>
    <n v="56"/>
    <n v="95"/>
    <x v="3"/>
    <x v="0"/>
    <x v="1"/>
  </r>
  <r>
    <x v="469"/>
    <x v="521"/>
    <x v="0"/>
    <x v="1"/>
    <n v="525"/>
    <n v="65"/>
    <n v="110"/>
    <n v="130"/>
    <n v="60"/>
    <n v="65"/>
    <n v="95"/>
    <x v="3"/>
    <x v="0"/>
    <x v="0"/>
  </r>
  <r>
    <x v="470"/>
    <x v="522"/>
    <x v="13"/>
    <x v="1"/>
    <n v="525"/>
    <n v="65"/>
    <n v="60"/>
    <n v="110"/>
    <n v="130"/>
    <n v="95"/>
    <n v="65"/>
    <x v="3"/>
    <x v="0"/>
    <x v="0"/>
  </r>
  <r>
    <x v="471"/>
    <x v="523"/>
    <x v="7"/>
    <x v="2"/>
    <n v="510"/>
    <n v="75"/>
    <n v="95"/>
    <n v="125"/>
    <n v="45"/>
    <n v="75"/>
    <n v="95"/>
    <x v="3"/>
    <x v="0"/>
    <x v="0"/>
  </r>
  <r>
    <x v="472"/>
    <x v="524"/>
    <x v="13"/>
    <x v="4"/>
    <n v="530"/>
    <n v="110"/>
    <n v="130"/>
    <n v="80"/>
    <n v="70"/>
    <n v="60"/>
    <n v="80"/>
    <x v="3"/>
    <x v="0"/>
    <x v="0"/>
  </r>
  <r>
    <x v="473"/>
    <x v="525"/>
    <x v="4"/>
    <x v="1"/>
    <n v="535"/>
    <n v="85"/>
    <n v="80"/>
    <n v="70"/>
    <n v="135"/>
    <n v="75"/>
    <n v="90"/>
    <x v="3"/>
    <x v="0"/>
    <x v="0"/>
  </r>
  <r>
    <x v="474"/>
    <x v="526"/>
    <x v="10"/>
    <x v="7"/>
    <n v="518"/>
    <n v="68"/>
    <n v="125"/>
    <n v="65"/>
    <n v="65"/>
    <n v="115"/>
    <n v="80"/>
    <x v="3"/>
    <x v="0"/>
    <x v="0"/>
  </r>
  <r>
    <x v="474"/>
    <x v="527"/>
    <x v="10"/>
    <x v="7"/>
    <n v="618"/>
    <n v="68"/>
    <n v="165"/>
    <n v="95"/>
    <n v="65"/>
    <n v="115"/>
    <n v="110"/>
    <x v="3"/>
    <x v="0"/>
    <x v="1"/>
  </r>
  <r>
    <x v="475"/>
    <x v="528"/>
    <x v="11"/>
    <x v="9"/>
    <n v="525"/>
    <n v="60"/>
    <n v="55"/>
    <n v="145"/>
    <n v="75"/>
    <n v="150"/>
    <n v="40"/>
    <x v="3"/>
    <x v="0"/>
    <x v="0"/>
  </r>
  <r>
    <x v="476"/>
    <x v="529"/>
    <x v="12"/>
    <x v="1"/>
    <n v="525"/>
    <n v="45"/>
    <n v="100"/>
    <n v="135"/>
    <n v="65"/>
    <n v="135"/>
    <n v="45"/>
    <x v="3"/>
    <x v="0"/>
    <x v="0"/>
  </r>
  <r>
    <x v="477"/>
    <x v="530"/>
    <x v="13"/>
    <x v="16"/>
    <n v="480"/>
    <n v="70"/>
    <n v="80"/>
    <n v="70"/>
    <n v="80"/>
    <n v="70"/>
    <n v="110"/>
    <x v="3"/>
    <x v="0"/>
    <x v="0"/>
  </r>
  <r>
    <x v="478"/>
    <x v="531"/>
    <x v="6"/>
    <x v="16"/>
    <n v="440"/>
    <n v="50"/>
    <n v="50"/>
    <n v="77"/>
    <n v="95"/>
    <n v="77"/>
    <n v="91"/>
    <x v="3"/>
    <x v="0"/>
    <x v="0"/>
  </r>
  <r>
    <x v="478"/>
    <x v="532"/>
    <x v="6"/>
    <x v="10"/>
    <n v="520"/>
    <n v="50"/>
    <n v="65"/>
    <n v="107"/>
    <n v="105"/>
    <n v="107"/>
    <n v="86"/>
    <x v="3"/>
    <x v="0"/>
    <x v="0"/>
  </r>
  <r>
    <x v="478"/>
    <x v="533"/>
    <x v="6"/>
    <x v="15"/>
    <n v="520"/>
    <n v="50"/>
    <n v="65"/>
    <n v="107"/>
    <n v="105"/>
    <n v="107"/>
    <n v="86"/>
    <x v="3"/>
    <x v="0"/>
    <x v="0"/>
  </r>
  <r>
    <x v="478"/>
    <x v="534"/>
    <x v="6"/>
    <x v="6"/>
    <n v="520"/>
    <n v="50"/>
    <n v="65"/>
    <n v="107"/>
    <n v="105"/>
    <n v="107"/>
    <n v="86"/>
    <x v="3"/>
    <x v="0"/>
    <x v="0"/>
  </r>
  <r>
    <x v="478"/>
    <x v="535"/>
    <x v="6"/>
    <x v="2"/>
    <n v="520"/>
    <n v="50"/>
    <n v="65"/>
    <n v="107"/>
    <n v="105"/>
    <n v="107"/>
    <n v="86"/>
    <x v="3"/>
    <x v="0"/>
    <x v="0"/>
  </r>
  <r>
    <x v="478"/>
    <x v="536"/>
    <x v="6"/>
    <x v="13"/>
    <n v="520"/>
    <n v="50"/>
    <n v="65"/>
    <n v="107"/>
    <n v="105"/>
    <n v="107"/>
    <n v="86"/>
    <x v="3"/>
    <x v="0"/>
    <x v="0"/>
  </r>
  <r>
    <x v="479"/>
    <x v="537"/>
    <x v="10"/>
    <x v="1"/>
    <n v="580"/>
    <n v="75"/>
    <n v="75"/>
    <n v="130"/>
    <n v="75"/>
    <n v="130"/>
    <n v="95"/>
    <x v="3"/>
    <x v="1"/>
    <x v="0"/>
  </r>
  <r>
    <x v="480"/>
    <x v="538"/>
    <x v="10"/>
    <x v="1"/>
    <n v="580"/>
    <n v="80"/>
    <n v="105"/>
    <n v="105"/>
    <n v="105"/>
    <n v="105"/>
    <n v="80"/>
    <x v="3"/>
    <x v="1"/>
    <x v="0"/>
  </r>
  <r>
    <x v="481"/>
    <x v="539"/>
    <x v="10"/>
    <x v="1"/>
    <n v="580"/>
    <n v="75"/>
    <n v="125"/>
    <n v="70"/>
    <n v="125"/>
    <n v="70"/>
    <n v="115"/>
    <x v="3"/>
    <x v="1"/>
    <x v="0"/>
  </r>
  <r>
    <x v="482"/>
    <x v="540"/>
    <x v="16"/>
    <x v="3"/>
    <n v="680"/>
    <n v="100"/>
    <n v="120"/>
    <n v="120"/>
    <n v="150"/>
    <n v="100"/>
    <n v="90"/>
    <x v="3"/>
    <x v="1"/>
    <x v="0"/>
  </r>
  <r>
    <x v="483"/>
    <x v="541"/>
    <x v="2"/>
    <x v="3"/>
    <n v="680"/>
    <n v="90"/>
    <n v="120"/>
    <n v="100"/>
    <n v="150"/>
    <n v="120"/>
    <n v="100"/>
    <x v="3"/>
    <x v="1"/>
    <x v="0"/>
  </r>
  <r>
    <x v="484"/>
    <x v="542"/>
    <x v="1"/>
    <x v="9"/>
    <n v="600"/>
    <n v="91"/>
    <n v="90"/>
    <n v="106"/>
    <n v="130"/>
    <n v="106"/>
    <n v="77"/>
    <x v="3"/>
    <x v="1"/>
    <x v="0"/>
  </r>
  <r>
    <x v="485"/>
    <x v="543"/>
    <x v="4"/>
    <x v="1"/>
    <n v="670"/>
    <n v="110"/>
    <n v="160"/>
    <n v="110"/>
    <n v="80"/>
    <n v="110"/>
    <n v="100"/>
    <x v="3"/>
    <x v="1"/>
    <x v="0"/>
  </r>
  <r>
    <x v="486"/>
    <x v="544"/>
    <x v="12"/>
    <x v="3"/>
    <n v="680"/>
    <n v="150"/>
    <n v="100"/>
    <n v="120"/>
    <n v="100"/>
    <n v="120"/>
    <n v="90"/>
    <x v="3"/>
    <x v="1"/>
    <x v="0"/>
  </r>
  <r>
    <x v="486"/>
    <x v="545"/>
    <x v="12"/>
    <x v="3"/>
    <n v="680"/>
    <n v="150"/>
    <n v="120"/>
    <n v="100"/>
    <n v="120"/>
    <n v="100"/>
    <n v="90"/>
    <x v="3"/>
    <x v="1"/>
    <x v="0"/>
  </r>
  <r>
    <x v="487"/>
    <x v="546"/>
    <x v="10"/>
    <x v="1"/>
    <n v="600"/>
    <n v="120"/>
    <n v="70"/>
    <n v="120"/>
    <n v="75"/>
    <n v="130"/>
    <n v="85"/>
    <x v="3"/>
    <x v="0"/>
    <x v="0"/>
  </r>
  <r>
    <x v="488"/>
    <x v="547"/>
    <x v="2"/>
    <x v="1"/>
    <n v="480"/>
    <n v="80"/>
    <n v="80"/>
    <n v="80"/>
    <n v="80"/>
    <n v="80"/>
    <n v="80"/>
    <x v="3"/>
    <x v="0"/>
    <x v="0"/>
  </r>
  <r>
    <x v="489"/>
    <x v="548"/>
    <x v="2"/>
    <x v="1"/>
    <n v="600"/>
    <n v="100"/>
    <n v="100"/>
    <n v="100"/>
    <n v="100"/>
    <n v="100"/>
    <n v="100"/>
    <x v="3"/>
    <x v="0"/>
    <x v="0"/>
  </r>
  <r>
    <x v="490"/>
    <x v="549"/>
    <x v="15"/>
    <x v="1"/>
    <n v="600"/>
    <n v="70"/>
    <n v="90"/>
    <n v="90"/>
    <n v="135"/>
    <n v="90"/>
    <n v="125"/>
    <x v="3"/>
    <x v="1"/>
    <x v="0"/>
  </r>
  <r>
    <x v="491"/>
    <x v="550"/>
    <x v="0"/>
    <x v="1"/>
    <n v="600"/>
    <n v="100"/>
    <n v="100"/>
    <n v="100"/>
    <n v="100"/>
    <n v="100"/>
    <n v="100"/>
    <x v="3"/>
    <x v="1"/>
    <x v="0"/>
  </r>
  <r>
    <x v="491"/>
    <x v="551"/>
    <x v="0"/>
    <x v="2"/>
    <n v="600"/>
    <n v="100"/>
    <n v="103"/>
    <n v="75"/>
    <n v="120"/>
    <n v="75"/>
    <n v="127"/>
    <x v="3"/>
    <x v="1"/>
    <x v="0"/>
  </r>
  <r>
    <x v="492"/>
    <x v="552"/>
    <x v="4"/>
    <x v="1"/>
    <n v="720"/>
    <n v="120"/>
    <n v="120"/>
    <n v="120"/>
    <n v="120"/>
    <n v="120"/>
    <n v="120"/>
    <x v="3"/>
    <x v="1"/>
    <x v="0"/>
  </r>
  <r>
    <x v="493"/>
    <x v="553"/>
    <x v="10"/>
    <x v="15"/>
    <n v="600"/>
    <n v="100"/>
    <n v="100"/>
    <n v="100"/>
    <n v="100"/>
    <n v="100"/>
    <n v="100"/>
    <x v="4"/>
    <x v="1"/>
    <x v="0"/>
  </r>
  <r>
    <x v="494"/>
    <x v="554"/>
    <x v="0"/>
    <x v="1"/>
    <n v="308"/>
    <n v="45"/>
    <n v="45"/>
    <n v="55"/>
    <n v="45"/>
    <n v="55"/>
    <n v="63"/>
    <x v="4"/>
    <x v="0"/>
    <x v="0"/>
  </r>
  <r>
    <x v="495"/>
    <x v="555"/>
    <x v="0"/>
    <x v="1"/>
    <n v="413"/>
    <n v="60"/>
    <n v="60"/>
    <n v="75"/>
    <n v="60"/>
    <n v="75"/>
    <n v="83"/>
    <x v="4"/>
    <x v="0"/>
    <x v="0"/>
  </r>
  <r>
    <x v="496"/>
    <x v="556"/>
    <x v="0"/>
    <x v="1"/>
    <n v="528"/>
    <n v="75"/>
    <n v="75"/>
    <n v="95"/>
    <n v="75"/>
    <n v="95"/>
    <n v="113"/>
    <x v="4"/>
    <x v="0"/>
    <x v="0"/>
  </r>
  <r>
    <x v="497"/>
    <x v="557"/>
    <x v="1"/>
    <x v="1"/>
    <n v="308"/>
    <n v="65"/>
    <n v="63"/>
    <n v="45"/>
    <n v="45"/>
    <n v="45"/>
    <n v="45"/>
    <x v="4"/>
    <x v="0"/>
    <x v="0"/>
  </r>
  <r>
    <x v="498"/>
    <x v="558"/>
    <x v="1"/>
    <x v="7"/>
    <n v="418"/>
    <n v="90"/>
    <n v="93"/>
    <n v="55"/>
    <n v="70"/>
    <n v="55"/>
    <n v="55"/>
    <x v="4"/>
    <x v="0"/>
    <x v="0"/>
  </r>
  <r>
    <x v="499"/>
    <x v="559"/>
    <x v="1"/>
    <x v="7"/>
    <n v="528"/>
    <n v="110"/>
    <n v="123"/>
    <n v="65"/>
    <n v="100"/>
    <n v="65"/>
    <n v="65"/>
    <x v="4"/>
    <x v="0"/>
    <x v="0"/>
  </r>
  <r>
    <x v="500"/>
    <x v="560"/>
    <x v="2"/>
    <x v="1"/>
    <n v="308"/>
    <n v="55"/>
    <n v="55"/>
    <n v="45"/>
    <n v="63"/>
    <n v="45"/>
    <n v="45"/>
    <x v="4"/>
    <x v="0"/>
    <x v="0"/>
  </r>
  <r>
    <x v="501"/>
    <x v="561"/>
    <x v="2"/>
    <x v="1"/>
    <n v="413"/>
    <n v="75"/>
    <n v="75"/>
    <n v="60"/>
    <n v="83"/>
    <n v="60"/>
    <n v="60"/>
    <x v="4"/>
    <x v="0"/>
    <x v="0"/>
  </r>
  <r>
    <x v="502"/>
    <x v="562"/>
    <x v="2"/>
    <x v="1"/>
    <n v="528"/>
    <n v="95"/>
    <n v="100"/>
    <n v="85"/>
    <n v="108"/>
    <n v="70"/>
    <n v="70"/>
    <x v="4"/>
    <x v="0"/>
    <x v="0"/>
  </r>
  <r>
    <x v="503"/>
    <x v="563"/>
    <x v="4"/>
    <x v="1"/>
    <n v="255"/>
    <n v="45"/>
    <n v="55"/>
    <n v="39"/>
    <n v="35"/>
    <n v="39"/>
    <n v="42"/>
    <x v="4"/>
    <x v="0"/>
    <x v="0"/>
  </r>
  <r>
    <x v="504"/>
    <x v="564"/>
    <x v="4"/>
    <x v="1"/>
    <n v="420"/>
    <n v="60"/>
    <n v="85"/>
    <n v="69"/>
    <n v="60"/>
    <n v="69"/>
    <n v="77"/>
    <x v="4"/>
    <x v="0"/>
    <x v="0"/>
  </r>
  <r>
    <x v="505"/>
    <x v="565"/>
    <x v="4"/>
    <x v="1"/>
    <n v="275"/>
    <n v="45"/>
    <n v="60"/>
    <n v="45"/>
    <n v="25"/>
    <n v="45"/>
    <n v="55"/>
    <x v="4"/>
    <x v="0"/>
    <x v="0"/>
  </r>
  <r>
    <x v="506"/>
    <x v="566"/>
    <x v="4"/>
    <x v="1"/>
    <n v="370"/>
    <n v="65"/>
    <n v="80"/>
    <n v="65"/>
    <n v="35"/>
    <n v="65"/>
    <n v="60"/>
    <x v="4"/>
    <x v="0"/>
    <x v="0"/>
  </r>
  <r>
    <x v="507"/>
    <x v="567"/>
    <x v="4"/>
    <x v="1"/>
    <n v="500"/>
    <n v="85"/>
    <n v="110"/>
    <n v="90"/>
    <n v="45"/>
    <n v="90"/>
    <n v="80"/>
    <x v="4"/>
    <x v="0"/>
    <x v="0"/>
  </r>
  <r>
    <x v="508"/>
    <x v="568"/>
    <x v="15"/>
    <x v="1"/>
    <n v="281"/>
    <n v="41"/>
    <n v="50"/>
    <n v="37"/>
    <n v="50"/>
    <n v="37"/>
    <n v="66"/>
    <x v="4"/>
    <x v="0"/>
    <x v="0"/>
  </r>
  <r>
    <x v="509"/>
    <x v="569"/>
    <x v="15"/>
    <x v="1"/>
    <n v="446"/>
    <n v="64"/>
    <n v="88"/>
    <n v="50"/>
    <n v="88"/>
    <n v="50"/>
    <n v="106"/>
    <x v="4"/>
    <x v="0"/>
    <x v="0"/>
  </r>
  <r>
    <x v="510"/>
    <x v="570"/>
    <x v="0"/>
    <x v="1"/>
    <n v="316"/>
    <n v="50"/>
    <n v="53"/>
    <n v="48"/>
    <n v="53"/>
    <n v="48"/>
    <n v="64"/>
    <x v="4"/>
    <x v="0"/>
    <x v="0"/>
  </r>
  <r>
    <x v="511"/>
    <x v="571"/>
    <x v="0"/>
    <x v="1"/>
    <n v="498"/>
    <n v="75"/>
    <n v="98"/>
    <n v="63"/>
    <n v="98"/>
    <n v="63"/>
    <n v="101"/>
    <x v="4"/>
    <x v="0"/>
    <x v="0"/>
  </r>
  <r>
    <x v="512"/>
    <x v="572"/>
    <x v="1"/>
    <x v="1"/>
    <n v="316"/>
    <n v="50"/>
    <n v="53"/>
    <n v="48"/>
    <n v="53"/>
    <n v="48"/>
    <n v="64"/>
    <x v="4"/>
    <x v="0"/>
    <x v="0"/>
  </r>
  <r>
    <x v="513"/>
    <x v="573"/>
    <x v="1"/>
    <x v="1"/>
    <n v="498"/>
    <n v="75"/>
    <n v="98"/>
    <n v="63"/>
    <n v="98"/>
    <n v="63"/>
    <n v="101"/>
    <x v="4"/>
    <x v="0"/>
    <x v="0"/>
  </r>
  <r>
    <x v="514"/>
    <x v="574"/>
    <x v="2"/>
    <x v="1"/>
    <n v="316"/>
    <n v="50"/>
    <n v="53"/>
    <n v="48"/>
    <n v="53"/>
    <n v="48"/>
    <n v="64"/>
    <x v="4"/>
    <x v="0"/>
    <x v="0"/>
  </r>
  <r>
    <x v="515"/>
    <x v="575"/>
    <x v="2"/>
    <x v="1"/>
    <n v="498"/>
    <n v="75"/>
    <n v="98"/>
    <n v="63"/>
    <n v="98"/>
    <n v="63"/>
    <n v="101"/>
    <x v="4"/>
    <x v="0"/>
    <x v="0"/>
  </r>
  <r>
    <x v="516"/>
    <x v="576"/>
    <x v="10"/>
    <x v="1"/>
    <n v="292"/>
    <n v="76"/>
    <n v="25"/>
    <n v="45"/>
    <n v="67"/>
    <n v="55"/>
    <n v="24"/>
    <x v="4"/>
    <x v="0"/>
    <x v="0"/>
  </r>
  <r>
    <x v="517"/>
    <x v="577"/>
    <x v="10"/>
    <x v="1"/>
    <n v="487"/>
    <n v="116"/>
    <n v="55"/>
    <n v="85"/>
    <n v="107"/>
    <n v="95"/>
    <n v="29"/>
    <x v="4"/>
    <x v="0"/>
    <x v="0"/>
  </r>
  <r>
    <x v="518"/>
    <x v="578"/>
    <x v="4"/>
    <x v="2"/>
    <n v="264"/>
    <n v="50"/>
    <n v="55"/>
    <n v="50"/>
    <n v="36"/>
    <n v="30"/>
    <n v="43"/>
    <x v="4"/>
    <x v="0"/>
    <x v="0"/>
  </r>
  <r>
    <x v="519"/>
    <x v="579"/>
    <x v="4"/>
    <x v="2"/>
    <n v="358"/>
    <n v="62"/>
    <n v="77"/>
    <n v="62"/>
    <n v="50"/>
    <n v="42"/>
    <n v="65"/>
    <x v="4"/>
    <x v="0"/>
    <x v="0"/>
  </r>
  <r>
    <x v="520"/>
    <x v="580"/>
    <x v="4"/>
    <x v="2"/>
    <n v="488"/>
    <n v="80"/>
    <n v="115"/>
    <n v="80"/>
    <n v="65"/>
    <n v="55"/>
    <n v="93"/>
    <x v="4"/>
    <x v="0"/>
    <x v="0"/>
  </r>
  <r>
    <x v="521"/>
    <x v="581"/>
    <x v="6"/>
    <x v="1"/>
    <n v="295"/>
    <n v="45"/>
    <n v="60"/>
    <n v="32"/>
    <n v="50"/>
    <n v="32"/>
    <n v="76"/>
    <x v="4"/>
    <x v="0"/>
    <x v="0"/>
  </r>
  <r>
    <x v="522"/>
    <x v="582"/>
    <x v="6"/>
    <x v="1"/>
    <n v="497"/>
    <n v="75"/>
    <n v="100"/>
    <n v="63"/>
    <n v="80"/>
    <n v="63"/>
    <n v="116"/>
    <x v="4"/>
    <x v="0"/>
    <x v="0"/>
  </r>
  <r>
    <x v="523"/>
    <x v="583"/>
    <x v="11"/>
    <x v="1"/>
    <n v="280"/>
    <n v="55"/>
    <n v="75"/>
    <n v="85"/>
    <n v="25"/>
    <n v="25"/>
    <n v="15"/>
    <x v="4"/>
    <x v="0"/>
    <x v="0"/>
  </r>
  <r>
    <x v="524"/>
    <x v="584"/>
    <x v="11"/>
    <x v="1"/>
    <n v="390"/>
    <n v="70"/>
    <n v="105"/>
    <n v="105"/>
    <n v="50"/>
    <n v="40"/>
    <n v="20"/>
    <x v="4"/>
    <x v="0"/>
    <x v="0"/>
  </r>
  <r>
    <x v="525"/>
    <x v="585"/>
    <x v="11"/>
    <x v="1"/>
    <n v="515"/>
    <n v="85"/>
    <n v="135"/>
    <n v="130"/>
    <n v="60"/>
    <n v="80"/>
    <n v="25"/>
    <x v="4"/>
    <x v="0"/>
    <x v="0"/>
  </r>
  <r>
    <x v="526"/>
    <x v="586"/>
    <x v="10"/>
    <x v="2"/>
    <n v="313"/>
    <n v="55"/>
    <n v="45"/>
    <n v="43"/>
    <n v="55"/>
    <n v="43"/>
    <n v="72"/>
    <x v="4"/>
    <x v="0"/>
    <x v="0"/>
  </r>
  <r>
    <x v="527"/>
    <x v="587"/>
    <x v="10"/>
    <x v="2"/>
    <n v="425"/>
    <n v="67"/>
    <n v="57"/>
    <n v="55"/>
    <n v="77"/>
    <n v="55"/>
    <n v="114"/>
    <x v="4"/>
    <x v="0"/>
    <x v="0"/>
  </r>
  <r>
    <x v="528"/>
    <x v="588"/>
    <x v="7"/>
    <x v="1"/>
    <n v="328"/>
    <n v="60"/>
    <n v="85"/>
    <n v="40"/>
    <n v="30"/>
    <n v="45"/>
    <n v="68"/>
    <x v="4"/>
    <x v="0"/>
    <x v="0"/>
  </r>
  <r>
    <x v="529"/>
    <x v="589"/>
    <x v="7"/>
    <x v="9"/>
    <n v="508"/>
    <n v="110"/>
    <n v="135"/>
    <n v="60"/>
    <n v="50"/>
    <n v="65"/>
    <n v="88"/>
    <x v="4"/>
    <x v="0"/>
    <x v="0"/>
  </r>
  <r>
    <x v="530"/>
    <x v="590"/>
    <x v="4"/>
    <x v="1"/>
    <n v="445"/>
    <n v="103"/>
    <n v="60"/>
    <n v="86"/>
    <n v="60"/>
    <n v="86"/>
    <n v="50"/>
    <x v="4"/>
    <x v="0"/>
    <x v="0"/>
  </r>
  <r>
    <x v="530"/>
    <x v="591"/>
    <x v="4"/>
    <x v="5"/>
    <n v="545"/>
    <n v="103"/>
    <n v="60"/>
    <n v="126"/>
    <n v="80"/>
    <n v="126"/>
    <n v="50"/>
    <x v="4"/>
    <x v="0"/>
    <x v="1"/>
  </r>
  <r>
    <x v="531"/>
    <x v="592"/>
    <x v="9"/>
    <x v="1"/>
    <n v="305"/>
    <n v="75"/>
    <n v="80"/>
    <n v="55"/>
    <n v="25"/>
    <n v="35"/>
    <n v="35"/>
    <x v="4"/>
    <x v="0"/>
    <x v="0"/>
  </r>
  <r>
    <x v="532"/>
    <x v="593"/>
    <x v="9"/>
    <x v="1"/>
    <n v="405"/>
    <n v="85"/>
    <n v="105"/>
    <n v="85"/>
    <n v="40"/>
    <n v="50"/>
    <n v="40"/>
    <x v="4"/>
    <x v="0"/>
    <x v="0"/>
  </r>
  <r>
    <x v="533"/>
    <x v="594"/>
    <x v="9"/>
    <x v="1"/>
    <n v="505"/>
    <n v="105"/>
    <n v="140"/>
    <n v="95"/>
    <n v="55"/>
    <n v="65"/>
    <n v="45"/>
    <x v="4"/>
    <x v="0"/>
    <x v="0"/>
  </r>
  <r>
    <x v="534"/>
    <x v="595"/>
    <x v="2"/>
    <x v="1"/>
    <n v="294"/>
    <n v="50"/>
    <n v="50"/>
    <n v="40"/>
    <n v="50"/>
    <n v="40"/>
    <n v="64"/>
    <x v="4"/>
    <x v="0"/>
    <x v="0"/>
  </r>
  <r>
    <x v="535"/>
    <x v="596"/>
    <x v="2"/>
    <x v="4"/>
    <n v="384"/>
    <n v="75"/>
    <n v="65"/>
    <n v="55"/>
    <n v="65"/>
    <n v="55"/>
    <n v="69"/>
    <x v="4"/>
    <x v="0"/>
    <x v="0"/>
  </r>
  <r>
    <x v="536"/>
    <x v="597"/>
    <x v="2"/>
    <x v="4"/>
    <n v="509"/>
    <n v="105"/>
    <n v="95"/>
    <n v="75"/>
    <n v="85"/>
    <n v="75"/>
    <n v="74"/>
    <x v="4"/>
    <x v="0"/>
    <x v="0"/>
  </r>
  <r>
    <x v="537"/>
    <x v="598"/>
    <x v="9"/>
    <x v="1"/>
    <n v="465"/>
    <n v="120"/>
    <n v="100"/>
    <n v="85"/>
    <n v="30"/>
    <n v="85"/>
    <n v="45"/>
    <x v="4"/>
    <x v="0"/>
    <x v="0"/>
  </r>
  <r>
    <x v="538"/>
    <x v="599"/>
    <x v="9"/>
    <x v="1"/>
    <n v="465"/>
    <n v="75"/>
    <n v="125"/>
    <n v="75"/>
    <n v="30"/>
    <n v="75"/>
    <n v="85"/>
    <x v="4"/>
    <x v="0"/>
    <x v="0"/>
  </r>
  <r>
    <x v="539"/>
    <x v="600"/>
    <x v="3"/>
    <x v="6"/>
    <n v="310"/>
    <n v="45"/>
    <n v="53"/>
    <n v="70"/>
    <n v="40"/>
    <n v="60"/>
    <n v="42"/>
    <x v="4"/>
    <x v="0"/>
    <x v="0"/>
  </r>
  <r>
    <x v="540"/>
    <x v="601"/>
    <x v="3"/>
    <x v="6"/>
    <n v="380"/>
    <n v="55"/>
    <n v="63"/>
    <n v="90"/>
    <n v="50"/>
    <n v="80"/>
    <n v="42"/>
    <x v="4"/>
    <x v="0"/>
    <x v="0"/>
  </r>
  <r>
    <x v="541"/>
    <x v="602"/>
    <x v="3"/>
    <x v="6"/>
    <n v="500"/>
    <n v="75"/>
    <n v="103"/>
    <n v="80"/>
    <n v="70"/>
    <n v="80"/>
    <n v="92"/>
    <x v="4"/>
    <x v="0"/>
    <x v="0"/>
  </r>
  <r>
    <x v="542"/>
    <x v="603"/>
    <x v="3"/>
    <x v="0"/>
    <n v="260"/>
    <n v="30"/>
    <n v="45"/>
    <n v="59"/>
    <n v="30"/>
    <n v="39"/>
    <n v="57"/>
    <x v="4"/>
    <x v="0"/>
    <x v="0"/>
  </r>
  <r>
    <x v="543"/>
    <x v="604"/>
    <x v="3"/>
    <x v="0"/>
    <n v="360"/>
    <n v="40"/>
    <n v="55"/>
    <n v="99"/>
    <n v="40"/>
    <n v="79"/>
    <n v="47"/>
    <x v="4"/>
    <x v="0"/>
    <x v="0"/>
  </r>
  <r>
    <x v="544"/>
    <x v="605"/>
    <x v="3"/>
    <x v="0"/>
    <n v="485"/>
    <n v="60"/>
    <n v="100"/>
    <n v="89"/>
    <n v="55"/>
    <n v="69"/>
    <n v="112"/>
    <x v="4"/>
    <x v="0"/>
    <x v="0"/>
  </r>
  <r>
    <x v="545"/>
    <x v="606"/>
    <x v="0"/>
    <x v="5"/>
    <n v="280"/>
    <n v="40"/>
    <n v="27"/>
    <n v="60"/>
    <n v="37"/>
    <n v="50"/>
    <n v="66"/>
    <x v="4"/>
    <x v="0"/>
    <x v="0"/>
  </r>
  <r>
    <x v="546"/>
    <x v="607"/>
    <x v="0"/>
    <x v="5"/>
    <n v="480"/>
    <n v="60"/>
    <n v="67"/>
    <n v="85"/>
    <n v="77"/>
    <n v="75"/>
    <n v="116"/>
    <x v="4"/>
    <x v="0"/>
    <x v="0"/>
  </r>
  <r>
    <x v="547"/>
    <x v="608"/>
    <x v="0"/>
    <x v="1"/>
    <n v="280"/>
    <n v="45"/>
    <n v="35"/>
    <n v="50"/>
    <n v="70"/>
    <n v="50"/>
    <n v="30"/>
    <x v="4"/>
    <x v="0"/>
    <x v="0"/>
  </r>
  <r>
    <x v="548"/>
    <x v="609"/>
    <x v="0"/>
    <x v="1"/>
    <n v="480"/>
    <n v="70"/>
    <n v="60"/>
    <n v="75"/>
    <n v="110"/>
    <n v="75"/>
    <n v="90"/>
    <x v="4"/>
    <x v="0"/>
    <x v="0"/>
  </r>
  <r>
    <x v="549"/>
    <x v="610"/>
    <x v="2"/>
    <x v="1"/>
    <n v="460"/>
    <n v="70"/>
    <n v="92"/>
    <n v="65"/>
    <n v="80"/>
    <n v="55"/>
    <n v="98"/>
    <x v="4"/>
    <x v="0"/>
    <x v="0"/>
  </r>
  <r>
    <x v="550"/>
    <x v="611"/>
    <x v="7"/>
    <x v="12"/>
    <n v="292"/>
    <n v="50"/>
    <n v="72"/>
    <n v="35"/>
    <n v="35"/>
    <n v="35"/>
    <n v="65"/>
    <x v="4"/>
    <x v="0"/>
    <x v="0"/>
  </r>
  <r>
    <x v="551"/>
    <x v="612"/>
    <x v="7"/>
    <x v="12"/>
    <n v="351"/>
    <n v="60"/>
    <n v="82"/>
    <n v="45"/>
    <n v="45"/>
    <n v="45"/>
    <n v="74"/>
    <x v="4"/>
    <x v="0"/>
    <x v="0"/>
  </r>
  <r>
    <x v="552"/>
    <x v="613"/>
    <x v="7"/>
    <x v="12"/>
    <n v="519"/>
    <n v="95"/>
    <n v="117"/>
    <n v="80"/>
    <n v="65"/>
    <n v="70"/>
    <n v="92"/>
    <x v="4"/>
    <x v="0"/>
    <x v="0"/>
  </r>
  <r>
    <x v="553"/>
    <x v="614"/>
    <x v="1"/>
    <x v="1"/>
    <n v="315"/>
    <n v="70"/>
    <n v="90"/>
    <n v="45"/>
    <n v="15"/>
    <n v="45"/>
    <n v="50"/>
    <x v="4"/>
    <x v="0"/>
    <x v="0"/>
  </r>
  <r>
    <x v="554"/>
    <x v="615"/>
    <x v="1"/>
    <x v="1"/>
    <n v="480"/>
    <n v="105"/>
    <n v="140"/>
    <n v="55"/>
    <n v="30"/>
    <n v="55"/>
    <n v="95"/>
    <x v="4"/>
    <x v="0"/>
    <x v="0"/>
  </r>
  <r>
    <x v="554"/>
    <x v="616"/>
    <x v="1"/>
    <x v="8"/>
    <n v="540"/>
    <n v="105"/>
    <n v="30"/>
    <n v="105"/>
    <n v="140"/>
    <n v="105"/>
    <n v="55"/>
    <x v="4"/>
    <x v="0"/>
    <x v="0"/>
  </r>
  <r>
    <x v="555"/>
    <x v="617"/>
    <x v="0"/>
    <x v="1"/>
    <n v="461"/>
    <n v="75"/>
    <n v="86"/>
    <n v="67"/>
    <n v="106"/>
    <n v="67"/>
    <n v="60"/>
    <x v="4"/>
    <x v="0"/>
    <x v="0"/>
  </r>
  <r>
    <x v="556"/>
    <x v="618"/>
    <x v="3"/>
    <x v="11"/>
    <n v="325"/>
    <n v="50"/>
    <n v="65"/>
    <n v="85"/>
    <n v="35"/>
    <n v="35"/>
    <n v="55"/>
    <x v="4"/>
    <x v="0"/>
    <x v="0"/>
  </r>
  <r>
    <x v="557"/>
    <x v="619"/>
    <x v="3"/>
    <x v="11"/>
    <n v="475"/>
    <n v="70"/>
    <n v="95"/>
    <n v="125"/>
    <n v="65"/>
    <n v="75"/>
    <n v="45"/>
    <x v="4"/>
    <x v="0"/>
    <x v="0"/>
  </r>
  <r>
    <x v="558"/>
    <x v="620"/>
    <x v="15"/>
    <x v="7"/>
    <n v="348"/>
    <n v="50"/>
    <n v="75"/>
    <n v="70"/>
    <n v="35"/>
    <n v="70"/>
    <n v="48"/>
    <x v="4"/>
    <x v="0"/>
    <x v="0"/>
  </r>
  <r>
    <x v="559"/>
    <x v="621"/>
    <x v="15"/>
    <x v="7"/>
    <n v="488"/>
    <n v="65"/>
    <n v="90"/>
    <n v="115"/>
    <n v="45"/>
    <n v="115"/>
    <n v="58"/>
    <x v="4"/>
    <x v="0"/>
    <x v="0"/>
  </r>
  <r>
    <x v="560"/>
    <x v="622"/>
    <x v="10"/>
    <x v="2"/>
    <n v="490"/>
    <n v="72"/>
    <n v="58"/>
    <n v="80"/>
    <n v="103"/>
    <n v="80"/>
    <n v="97"/>
    <x v="4"/>
    <x v="0"/>
    <x v="0"/>
  </r>
  <r>
    <x v="561"/>
    <x v="623"/>
    <x v="12"/>
    <x v="1"/>
    <n v="303"/>
    <n v="38"/>
    <n v="30"/>
    <n v="85"/>
    <n v="55"/>
    <n v="65"/>
    <n v="30"/>
    <x v="4"/>
    <x v="0"/>
    <x v="0"/>
  </r>
  <r>
    <x v="562"/>
    <x v="624"/>
    <x v="12"/>
    <x v="1"/>
    <n v="483"/>
    <n v="58"/>
    <n v="50"/>
    <n v="145"/>
    <n v="95"/>
    <n v="105"/>
    <n v="30"/>
    <x v="4"/>
    <x v="0"/>
    <x v="0"/>
  </r>
  <r>
    <x v="563"/>
    <x v="625"/>
    <x v="2"/>
    <x v="11"/>
    <n v="355"/>
    <n v="54"/>
    <n v="78"/>
    <n v="103"/>
    <n v="53"/>
    <n v="45"/>
    <n v="22"/>
    <x v="4"/>
    <x v="0"/>
    <x v="0"/>
  </r>
  <r>
    <x v="564"/>
    <x v="626"/>
    <x v="2"/>
    <x v="11"/>
    <n v="495"/>
    <n v="74"/>
    <n v="108"/>
    <n v="133"/>
    <n v="83"/>
    <n v="65"/>
    <n v="32"/>
    <x v="4"/>
    <x v="0"/>
    <x v="0"/>
  </r>
  <r>
    <x v="565"/>
    <x v="627"/>
    <x v="11"/>
    <x v="2"/>
    <n v="401"/>
    <n v="55"/>
    <n v="112"/>
    <n v="45"/>
    <n v="74"/>
    <n v="45"/>
    <n v="70"/>
    <x v="4"/>
    <x v="0"/>
    <x v="0"/>
  </r>
  <r>
    <x v="566"/>
    <x v="628"/>
    <x v="11"/>
    <x v="2"/>
    <n v="567"/>
    <n v="75"/>
    <n v="140"/>
    <n v="65"/>
    <n v="112"/>
    <n v="65"/>
    <n v="110"/>
    <x v="4"/>
    <x v="0"/>
    <x v="0"/>
  </r>
  <r>
    <x v="567"/>
    <x v="629"/>
    <x v="5"/>
    <x v="1"/>
    <n v="329"/>
    <n v="50"/>
    <n v="50"/>
    <n v="62"/>
    <n v="40"/>
    <n v="62"/>
    <n v="65"/>
    <x v="4"/>
    <x v="0"/>
    <x v="0"/>
  </r>
  <r>
    <x v="568"/>
    <x v="630"/>
    <x v="5"/>
    <x v="1"/>
    <n v="474"/>
    <n v="80"/>
    <n v="95"/>
    <n v="82"/>
    <n v="60"/>
    <n v="82"/>
    <n v="75"/>
    <x v="4"/>
    <x v="0"/>
    <x v="0"/>
  </r>
  <r>
    <x v="569"/>
    <x v="631"/>
    <x v="15"/>
    <x v="1"/>
    <n v="330"/>
    <n v="40"/>
    <n v="65"/>
    <n v="40"/>
    <n v="80"/>
    <n v="40"/>
    <n v="65"/>
    <x v="4"/>
    <x v="0"/>
    <x v="0"/>
  </r>
  <r>
    <x v="570"/>
    <x v="632"/>
    <x v="15"/>
    <x v="1"/>
    <n v="510"/>
    <n v="60"/>
    <n v="105"/>
    <n v="60"/>
    <n v="120"/>
    <n v="60"/>
    <n v="105"/>
    <x v="4"/>
    <x v="0"/>
    <x v="0"/>
  </r>
  <r>
    <x v="571"/>
    <x v="633"/>
    <x v="4"/>
    <x v="1"/>
    <n v="300"/>
    <n v="55"/>
    <n v="50"/>
    <n v="40"/>
    <n v="40"/>
    <n v="40"/>
    <n v="75"/>
    <x v="4"/>
    <x v="0"/>
    <x v="0"/>
  </r>
  <r>
    <x v="572"/>
    <x v="634"/>
    <x v="4"/>
    <x v="1"/>
    <n v="470"/>
    <n v="75"/>
    <n v="95"/>
    <n v="60"/>
    <n v="65"/>
    <n v="60"/>
    <n v="115"/>
    <x v="4"/>
    <x v="0"/>
    <x v="0"/>
  </r>
  <r>
    <x v="573"/>
    <x v="635"/>
    <x v="10"/>
    <x v="1"/>
    <n v="290"/>
    <n v="45"/>
    <n v="30"/>
    <n v="50"/>
    <n v="55"/>
    <n v="65"/>
    <n v="45"/>
    <x v="4"/>
    <x v="0"/>
    <x v="0"/>
  </r>
  <r>
    <x v="574"/>
    <x v="636"/>
    <x v="10"/>
    <x v="1"/>
    <n v="390"/>
    <n v="60"/>
    <n v="45"/>
    <n v="70"/>
    <n v="75"/>
    <n v="85"/>
    <n v="55"/>
    <x v="4"/>
    <x v="0"/>
    <x v="0"/>
  </r>
  <r>
    <x v="575"/>
    <x v="637"/>
    <x v="10"/>
    <x v="1"/>
    <n v="490"/>
    <n v="70"/>
    <n v="55"/>
    <n v="95"/>
    <n v="95"/>
    <n v="110"/>
    <n v="65"/>
    <x v="4"/>
    <x v="0"/>
    <x v="0"/>
  </r>
  <r>
    <x v="576"/>
    <x v="638"/>
    <x v="10"/>
    <x v="1"/>
    <n v="290"/>
    <n v="45"/>
    <n v="30"/>
    <n v="40"/>
    <n v="105"/>
    <n v="50"/>
    <n v="20"/>
    <x v="4"/>
    <x v="0"/>
    <x v="0"/>
  </r>
  <r>
    <x v="577"/>
    <x v="639"/>
    <x v="10"/>
    <x v="1"/>
    <n v="370"/>
    <n v="65"/>
    <n v="40"/>
    <n v="50"/>
    <n v="125"/>
    <n v="60"/>
    <n v="30"/>
    <x v="4"/>
    <x v="0"/>
    <x v="0"/>
  </r>
  <r>
    <x v="578"/>
    <x v="640"/>
    <x v="10"/>
    <x v="1"/>
    <n v="490"/>
    <n v="110"/>
    <n v="65"/>
    <n v="75"/>
    <n v="125"/>
    <n v="85"/>
    <n v="30"/>
    <x v="4"/>
    <x v="0"/>
    <x v="0"/>
  </r>
  <r>
    <x v="579"/>
    <x v="641"/>
    <x v="2"/>
    <x v="2"/>
    <n v="305"/>
    <n v="62"/>
    <n v="44"/>
    <n v="50"/>
    <n v="44"/>
    <n v="50"/>
    <n v="55"/>
    <x v="4"/>
    <x v="0"/>
    <x v="0"/>
  </r>
  <r>
    <x v="580"/>
    <x v="642"/>
    <x v="2"/>
    <x v="2"/>
    <n v="473"/>
    <n v="75"/>
    <n v="87"/>
    <n v="63"/>
    <n v="87"/>
    <n v="63"/>
    <n v="98"/>
    <x v="4"/>
    <x v="0"/>
    <x v="0"/>
  </r>
  <r>
    <x v="581"/>
    <x v="643"/>
    <x v="13"/>
    <x v="1"/>
    <n v="305"/>
    <n v="36"/>
    <n v="50"/>
    <n v="50"/>
    <n v="65"/>
    <n v="60"/>
    <n v="44"/>
    <x v="4"/>
    <x v="0"/>
    <x v="0"/>
  </r>
  <r>
    <x v="582"/>
    <x v="644"/>
    <x v="13"/>
    <x v="1"/>
    <n v="395"/>
    <n v="51"/>
    <n v="65"/>
    <n v="65"/>
    <n v="80"/>
    <n v="75"/>
    <n v="59"/>
    <x v="4"/>
    <x v="0"/>
    <x v="0"/>
  </r>
  <r>
    <x v="583"/>
    <x v="645"/>
    <x v="13"/>
    <x v="1"/>
    <n v="535"/>
    <n v="71"/>
    <n v="95"/>
    <n v="85"/>
    <n v="110"/>
    <n v="95"/>
    <n v="79"/>
    <x v="4"/>
    <x v="0"/>
    <x v="0"/>
  </r>
  <r>
    <x v="584"/>
    <x v="646"/>
    <x v="4"/>
    <x v="6"/>
    <n v="335"/>
    <n v="60"/>
    <n v="60"/>
    <n v="50"/>
    <n v="40"/>
    <n v="50"/>
    <n v="75"/>
    <x v="4"/>
    <x v="0"/>
    <x v="0"/>
  </r>
  <r>
    <x v="585"/>
    <x v="647"/>
    <x v="4"/>
    <x v="6"/>
    <n v="475"/>
    <n v="80"/>
    <n v="100"/>
    <n v="70"/>
    <n v="60"/>
    <n v="70"/>
    <n v="95"/>
    <x v="4"/>
    <x v="0"/>
    <x v="0"/>
  </r>
  <r>
    <x v="586"/>
    <x v="648"/>
    <x v="6"/>
    <x v="2"/>
    <n v="428"/>
    <n v="55"/>
    <n v="75"/>
    <n v="60"/>
    <n v="75"/>
    <n v="60"/>
    <n v="103"/>
    <x v="4"/>
    <x v="0"/>
    <x v="0"/>
  </r>
  <r>
    <x v="587"/>
    <x v="649"/>
    <x v="3"/>
    <x v="1"/>
    <n v="315"/>
    <n v="50"/>
    <n v="75"/>
    <n v="45"/>
    <n v="40"/>
    <n v="45"/>
    <n v="60"/>
    <x v="4"/>
    <x v="0"/>
    <x v="0"/>
  </r>
  <r>
    <x v="588"/>
    <x v="650"/>
    <x v="3"/>
    <x v="9"/>
    <n v="495"/>
    <n v="70"/>
    <n v="135"/>
    <n v="105"/>
    <n v="60"/>
    <n v="105"/>
    <n v="20"/>
    <x v="4"/>
    <x v="0"/>
    <x v="0"/>
  </r>
  <r>
    <x v="589"/>
    <x v="651"/>
    <x v="0"/>
    <x v="0"/>
    <n v="294"/>
    <n v="69"/>
    <n v="55"/>
    <n v="45"/>
    <n v="55"/>
    <n v="55"/>
    <n v="15"/>
    <x v="4"/>
    <x v="0"/>
    <x v="0"/>
  </r>
  <r>
    <x v="590"/>
    <x v="652"/>
    <x v="0"/>
    <x v="0"/>
    <n v="464"/>
    <n v="114"/>
    <n v="85"/>
    <n v="70"/>
    <n v="85"/>
    <n v="80"/>
    <n v="30"/>
    <x v="4"/>
    <x v="0"/>
    <x v="0"/>
  </r>
  <r>
    <x v="591"/>
    <x v="653"/>
    <x v="2"/>
    <x v="16"/>
    <n v="335"/>
    <n v="55"/>
    <n v="40"/>
    <n v="50"/>
    <n v="65"/>
    <n v="85"/>
    <n v="40"/>
    <x v="4"/>
    <x v="0"/>
    <x v="0"/>
  </r>
  <r>
    <x v="592"/>
    <x v="654"/>
    <x v="2"/>
    <x v="16"/>
    <n v="480"/>
    <n v="100"/>
    <n v="60"/>
    <n v="70"/>
    <n v="85"/>
    <n v="105"/>
    <n v="60"/>
    <x v="4"/>
    <x v="0"/>
    <x v="0"/>
  </r>
  <r>
    <x v="593"/>
    <x v="655"/>
    <x v="2"/>
    <x v="1"/>
    <n v="470"/>
    <n v="165"/>
    <n v="75"/>
    <n v="80"/>
    <n v="40"/>
    <n v="45"/>
    <n v="65"/>
    <x v="4"/>
    <x v="0"/>
    <x v="0"/>
  </r>
  <r>
    <x v="594"/>
    <x v="656"/>
    <x v="3"/>
    <x v="14"/>
    <n v="319"/>
    <n v="50"/>
    <n v="47"/>
    <n v="50"/>
    <n v="57"/>
    <n v="50"/>
    <n v="65"/>
    <x v="4"/>
    <x v="0"/>
    <x v="0"/>
  </r>
  <r>
    <x v="595"/>
    <x v="657"/>
    <x v="3"/>
    <x v="14"/>
    <n v="472"/>
    <n v="70"/>
    <n v="77"/>
    <n v="60"/>
    <n v="97"/>
    <n v="60"/>
    <n v="108"/>
    <x v="4"/>
    <x v="0"/>
    <x v="0"/>
  </r>
  <r>
    <x v="596"/>
    <x v="658"/>
    <x v="0"/>
    <x v="9"/>
    <n v="305"/>
    <n v="44"/>
    <n v="50"/>
    <n v="91"/>
    <n v="24"/>
    <n v="86"/>
    <n v="10"/>
    <x v="4"/>
    <x v="0"/>
    <x v="0"/>
  </r>
  <r>
    <x v="597"/>
    <x v="659"/>
    <x v="0"/>
    <x v="9"/>
    <n v="489"/>
    <n v="74"/>
    <n v="94"/>
    <n v="131"/>
    <n v="54"/>
    <n v="116"/>
    <n v="20"/>
    <x v="4"/>
    <x v="0"/>
    <x v="0"/>
  </r>
  <r>
    <x v="598"/>
    <x v="660"/>
    <x v="16"/>
    <x v="1"/>
    <n v="300"/>
    <n v="40"/>
    <n v="55"/>
    <n v="70"/>
    <n v="45"/>
    <n v="60"/>
    <n v="30"/>
    <x v="4"/>
    <x v="0"/>
    <x v="0"/>
  </r>
  <r>
    <x v="599"/>
    <x v="661"/>
    <x v="16"/>
    <x v="1"/>
    <n v="440"/>
    <n v="60"/>
    <n v="80"/>
    <n v="95"/>
    <n v="70"/>
    <n v="85"/>
    <n v="50"/>
    <x v="4"/>
    <x v="0"/>
    <x v="0"/>
  </r>
  <r>
    <x v="600"/>
    <x v="662"/>
    <x v="16"/>
    <x v="1"/>
    <n v="520"/>
    <n v="60"/>
    <n v="100"/>
    <n v="115"/>
    <n v="70"/>
    <n v="85"/>
    <n v="90"/>
    <x v="4"/>
    <x v="0"/>
    <x v="0"/>
  </r>
  <r>
    <x v="601"/>
    <x v="663"/>
    <x v="6"/>
    <x v="1"/>
    <n v="275"/>
    <n v="35"/>
    <n v="55"/>
    <n v="40"/>
    <n v="45"/>
    <n v="40"/>
    <n v="60"/>
    <x v="4"/>
    <x v="0"/>
    <x v="0"/>
  </r>
  <r>
    <x v="602"/>
    <x v="664"/>
    <x v="6"/>
    <x v="1"/>
    <n v="405"/>
    <n v="65"/>
    <n v="85"/>
    <n v="70"/>
    <n v="75"/>
    <n v="70"/>
    <n v="40"/>
    <x v="4"/>
    <x v="0"/>
    <x v="0"/>
  </r>
  <r>
    <x v="603"/>
    <x v="665"/>
    <x v="6"/>
    <x v="1"/>
    <n v="515"/>
    <n v="85"/>
    <n v="115"/>
    <n v="80"/>
    <n v="105"/>
    <n v="80"/>
    <n v="50"/>
    <x v="4"/>
    <x v="0"/>
    <x v="0"/>
  </r>
  <r>
    <x v="604"/>
    <x v="666"/>
    <x v="10"/>
    <x v="1"/>
    <n v="335"/>
    <n v="55"/>
    <n v="55"/>
    <n v="55"/>
    <n v="85"/>
    <n v="55"/>
    <n v="30"/>
    <x v="4"/>
    <x v="0"/>
    <x v="0"/>
  </r>
  <r>
    <x v="605"/>
    <x v="667"/>
    <x v="10"/>
    <x v="1"/>
    <n v="485"/>
    <n v="75"/>
    <n v="75"/>
    <n v="75"/>
    <n v="125"/>
    <n v="95"/>
    <n v="40"/>
    <x v="4"/>
    <x v="0"/>
    <x v="0"/>
  </r>
  <r>
    <x v="606"/>
    <x v="668"/>
    <x v="12"/>
    <x v="15"/>
    <n v="275"/>
    <n v="50"/>
    <n v="30"/>
    <n v="55"/>
    <n v="65"/>
    <n v="55"/>
    <n v="20"/>
    <x v="4"/>
    <x v="0"/>
    <x v="0"/>
  </r>
  <r>
    <x v="607"/>
    <x v="669"/>
    <x v="12"/>
    <x v="15"/>
    <n v="370"/>
    <n v="60"/>
    <n v="40"/>
    <n v="60"/>
    <n v="95"/>
    <n v="60"/>
    <n v="55"/>
    <x v="4"/>
    <x v="0"/>
    <x v="0"/>
  </r>
  <r>
    <x v="608"/>
    <x v="670"/>
    <x v="12"/>
    <x v="15"/>
    <n v="520"/>
    <n v="60"/>
    <n v="55"/>
    <n v="90"/>
    <n v="145"/>
    <n v="90"/>
    <n v="80"/>
    <x v="4"/>
    <x v="0"/>
    <x v="0"/>
  </r>
  <r>
    <x v="609"/>
    <x v="671"/>
    <x v="14"/>
    <x v="1"/>
    <n v="320"/>
    <n v="46"/>
    <n v="87"/>
    <n v="60"/>
    <n v="30"/>
    <n v="40"/>
    <n v="57"/>
    <x v="4"/>
    <x v="0"/>
    <x v="0"/>
  </r>
  <r>
    <x v="610"/>
    <x v="672"/>
    <x v="14"/>
    <x v="1"/>
    <n v="410"/>
    <n v="66"/>
    <n v="117"/>
    <n v="70"/>
    <n v="40"/>
    <n v="50"/>
    <n v="67"/>
    <x v="4"/>
    <x v="0"/>
    <x v="0"/>
  </r>
  <r>
    <x v="611"/>
    <x v="673"/>
    <x v="14"/>
    <x v="1"/>
    <n v="540"/>
    <n v="76"/>
    <n v="147"/>
    <n v="90"/>
    <n v="60"/>
    <n v="70"/>
    <n v="97"/>
    <x v="4"/>
    <x v="0"/>
    <x v="0"/>
  </r>
  <r>
    <x v="612"/>
    <x v="674"/>
    <x v="13"/>
    <x v="1"/>
    <n v="305"/>
    <n v="55"/>
    <n v="70"/>
    <n v="40"/>
    <n v="60"/>
    <n v="40"/>
    <n v="40"/>
    <x v="4"/>
    <x v="0"/>
    <x v="0"/>
  </r>
  <r>
    <x v="613"/>
    <x v="675"/>
    <x v="13"/>
    <x v="1"/>
    <n v="485"/>
    <n v="95"/>
    <n v="110"/>
    <n v="80"/>
    <n v="70"/>
    <n v="80"/>
    <n v="50"/>
    <x v="4"/>
    <x v="0"/>
    <x v="0"/>
  </r>
  <r>
    <x v="614"/>
    <x v="676"/>
    <x v="13"/>
    <x v="1"/>
    <n v="485"/>
    <n v="70"/>
    <n v="50"/>
    <n v="30"/>
    <n v="95"/>
    <n v="135"/>
    <n v="105"/>
    <x v="4"/>
    <x v="0"/>
    <x v="0"/>
  </r>
  <r>
    <x v="615"/>
    <x v="677"/>
    <x v="3"/>
    <x v="1"/>
    <n v="305"/>
    <n v="50"/>
    <n v="40"/>
    <n v="85"/>
    <n v="40"/>
    <n v="65"/>
    <n v="25"/>
    <x v="4"/>
    <x v="0"/>
    <x v="0"/>
  </r>
  <r>
    <x v="616"/>
    <x v="678"/>
    <x v="3"/>
    <x v="1"/>
    <n v="495"/>
    <n v="80"/>
    <n v="70"/>
    <n v="40"/>
    <n v="100"/>
    <n v="60"/>
    <n v="145"/>
    <x v="4"/>
    <x v="0"/>
    <x v="0"/>
  </r>
  <r>
    <x v="617"/>
    <x v="679"/>
    <x v="7"/>
    <x v="14"/>
    <n v="471"/>
    <n v="109"/>
    <n v="66"/>
    <n v="84"/>
    <n v="81"/>
    <n v="99"/>
    <n v="32"/>
    <x v="4"/>
    <x v="0"/>
    <x v="0"/>
  </r>
  <r>
    <x v="618"/>
    <x v="680"/>
    <x v="9"/>
    <x v="1"/>
    <n v="350"/>
    <n v="45"/>
    <n v="85"/>
    <n v="50"/>
    <n v="55"/>
    <n v="50"/>
    <n v="65"/>
    <x v="4"/>
    <x v="0"/>
    <x v="0"/>
  </r>
  <r>
    <x v="619"/>
    <x v="681"/>
    <x v="9"/>
    <x v="1"/>
    <n v="510"/>
    <n v="65"/>
    <n v="125"/>
    <n v="60"/>
    <n v="95"/>
    <n v="60"/>
    <n v="105"/>
    <x v="4"/>
    <x v="0"/>
    <x v="0"/>
  </r>
  <r>
    <x v="620"/>
    <x v="682"/>
    <x v="14"/>
    <x v="1"/>
    <n v="485"/>
    <n v="77"/>
    <n v="120"/>
    <n v="90"/>
    <n v="60"/>
    <n v="90"/>
    <n v="48"/>
    <x v="4"/>
    <x v="0"/>
    <x v="0"/>
  </r>
  <r>
    <x v="621"/>
    <x v="683"/>
    <x v="7"/>
    <x v="16"/>
    <n v="303"/>
    <n v="59"/>
    <n v="74"/>
    <n v="50"/>
    <n v="35"/>
    <n v="50"/>
    <n v="35"/>
    <x v="4"/>
    <x v="0"/>
    <x v="0"/>
  </r>
  <r>
    <x v="622"/>
    <x v="684"/>
    <x v="7"/>
    <x v="16"/>
    <n v="483"/>
    <n v="89"/>
    <n v="124"/>
    <n v="80"/>
    <n v="55"/>
    <n v="80"/>
    <n v="55"/>
    <x v="4"/>
    <x v="0"/>
    <x v="0"/>
  </r>
  <r>
    <x v="623"/>
    <x v="685"/>
    <x v="15"/>
    <x v="9"/>
    <n v="340"/>
    <n v="45"/>
    <n v="85"/>
    <n v="70"/>
    <n v="40"/>
    <n v="40"/>
    <n v="60"/>
    <x v="4"/>
    <x v="0"/>
    <x v="0"/>
  </r>
  <r>
    <x v="624"/>
    <x v="686"/>
    <x v="15"/>
    <x v="9"/>
    <n v="490"/>
    <n v="65"/>
    <n v="125"/>
    <n v="100"/>
    <n v="60"/>
    <n v="70"/>
    <n v="70"/>
    <x v="4"/>
    <x v="0"/>
    <x v="0"/>
  </r>
  <r>
    <x v="625"/>
    <x v="687"/>
    <x v="4"/>
    <x v="1"/>
    <n v="490"/>
    <n v="95"/>
    <n v="110"/>
    <n v="95"/>
    <n v="40"/>
    <n v="95"/>
    <n v="55"/>
    <x v="4"/>
    <x v="0"/>
    <x v="0"/>
  </r>
  <r>
    <x v="626"/>
    <x v="688"/>
    <x v="4"/>
    <x v="2"/>
    <n v="350"/>
    <n v="70"/>
    <n v="83"/>
    <n v="50"/>
    <n v="37"/>
    <n v="50"/>
    <n v="60"/>
    <x v="4"/>
    <x v="0"/>
    <x v="0"/>
  </r>
  <r>
    <x v="627"/>
    <x v="689"/>
    <x v="4"/>
    <x v="2"/>
    <n v="510"/>
    <n v="100"/>
    <n v="123"/>
    <n v="75"/>
    <n v="57"/>
    <n v="75"/>
    <n v="80"/>
    <x v="4"/>
    <x v="0"/>
    <x v="0"/>
  </r>
  <r>
    <x v="628"/>
    <x v="690"/>
    <x v="15"/>
    <x v="2"/>
    <n v="370"/>
    <n v="70"/>
    <n v="55"/>
    <n v="75"/>
    <n v="45"/>
    <n v="65"/>
    <n v="60"/>
    <x v="4"/>
    <x v="0"/>
    <x v="0"/>
  </r>
  <r>
    <x v="629"/>
    <x v="691"/>
    <x v="15"/>
    <x v="2"/>
    <n v="510"/>
    <n v="110"/>
    <n v="65"/>
    <n v="105"/>
    <n v="55"/>
    <n v="95"/>
    <n v="80"/>
    <x v="4"/>
    <x v="0"/>
    <x v="0"/>
  </r>
  <r>
    <x v="630"/>
    <x v="692"/>
    <x v="1"/>
    <x v="1"/>
    <n v="484"/>
    <n v="85"/>
    <n v="97"/>
    <n v="66"/>
    <n v="105"/>
    <n v="66"/>
    <n v="65"/>
    <x v="4"/>
    <x v="0"/>
    <x v="0"/>
  </r>
  <r>
    <x v="631"/>
    <x v="693"/>
    <x v="3"/>
    <x v="9"/>
    <n v="484"/>
    <n v="58"/>
    <n v="109"/>
    <n v="112"/>
    <n v="48"/>
    <n v="48"/>
    <n v="109"/>
    <x v="4"/>
    <x v="0"/>
    <x v="0"/>
  </r>
  <r>
    <x v="632"/>
    <x v="694"/>
    <x v="15"/>
    <x v="3"/>
    <n v="300"/>
    <n v="52"/>
    <n v="65"/>
    <n v="50"/>
    <n v="45"/>
    <n v="50"/>
    <n v="38"/>
    <x v="4"/>
    <x v="0"/>
    <x v="0"/>
  </r>
  <r>
    <x v="633"/>
    <x v="695"/>
    <x v="15"/>
    <x v="3"/>
    <n v="420"/>
    <n v="72"/>
    <n v="85"/>
    <n v="70"/>
    <n v="65"/>
    <n v="70"/>
    <n v="58"/>
    <x v="4"/>
    <x v="0"/>
    <x v="0"/>
  </r>
  <r>
    <x v="634"/>
    <x v="696"/>
    <x v="15"/>
    <x v="3"/>
    <n v="600"/>
    <n v="92"/>
    <n v="105"/>
    <n v="90"/>
    <n v="125"/>
    <n v="90"/>
    <n v="98"/>
    <x v="4"/>
    <x v="0"/>
    <x v="0"/>
  </r>
  <r>
    <x v="635"/>
    <x v="697"/>
    <x v="3"/>
    <x v="15"/>
    <n v="360"/>
    <n v="55"/>
    <n v="85"/>
    <n v="55"/>
    <n v="50"/>
    <n v="55"/>
    <n v="60"/>
    <x v="4"/>
    <x v="0"/>
    <x v="0"/>
  </r>
  <r>
    <x v="636"/>
    <x v="698"/>
    <x v="3"/>
    <x v="15"/>
    <n v="550"/>
    <n v="85"/>
    <n v="60"/>
    <n v="65"/>
    <n v="135"/>
    <n v="105"/>
    <n v="100"/>
    <x v="4"/>
    <x v="0"/>
    <x v="0"/>
  </r>
  <r>
    <x v="637"/>
    <x v="699"/>
    <x v="16"/>
    <x v="7"/>
    <n v="580"/>
    <n v="91"/>
    <n v="90"/>
    <n v="129"/>
    <n v="90"/>
    <n v="72"/>
    <n v="108"/>
    <x v="4"/>
    <x v="1"/>
    <x v="0"/>
  </r>
  <r>
    <x v="638"/>
    <x v="700"/>
    <x v="11"/>
    <x v="7"/>
    <n v="580"/>
    <n v="91"/>
    <n v="129"/>
    <n v="90"/>
    <n v="72"/>
    <n v="90"/>
    <n v="108"/>
    <x v="4"/>
    <x v="1"/>
    <x v="0"/>
  </r>
  <r>
    <x v="639"/>
    <x v="701"/>
    <x v="0"/>
    <x v="7"/>
    <n v="580"/>
    <n v="91"/>
    <n v="90"/>
    <n v="72"/>
    <n v="90"/>
    <n v="129"/>
    <n v="108"/>
    <x v="4"/>
    <x v="1"/>
    <x v="0"/>
  </r>
  <r>
    <x v="640"/>
    <x v="702"/>
    <x v="17"/>
    <x v="1"/>
    <n v="580"/>
    <n v="79"/>
    <n v="100"/>
    <n v="80"/>
    <n v="110"/>
    <n v="90"/>
    <n v="121"/>
    <x v="4"/>
    <x v="1"/>
    <x v="0"/>
  </r>
  <r>
    <x v="640"/>
    <x v="703"/>
    <x v="17"/>
    <x v="1"/>
    <n v="580"/>
    <n v="79"/>
    <n v="115"/>
    <n v="70"/>
    <n v="125"/>
    <n v="80"/>
    <n v="111"/>
    <x v="4"/>
    <x v="1"/>
    <x v="0"/>
  </r>
  <r>
    <x v="641"/>
    <x v="704"/>
    <x v="6"/>
    <x v="2"/>
    <n v="580"/>
    <n v="79"/>
    <n v="115"/>
    <n v="70"/>
    <n v="125"/>
    <n v="80"/>
    <n v="111"/>
    <x v="4"/>
    <x v="1"/>
    <x v="0"/>
  </r>
  <r>
    <x v="641"/>
    <x v="705"/>
    <x v="6"/>
    <x v="2"/>
    <n v="580"/>
    <n v="79"/>
    <n v="105"/>
    <n v="70"/>
    <n v="145"/>
    <n v="80"/>
    <n v="101"/>
    <x v="4"/>
    <x v="1"/>
    <x v="0"/>
  </r>
  <r>
    <x v="642"/>
    <x v="706"/>
    <x v="14"/>
    <x v="15"/>
    <n v="680"/>
    <n v="100"/>
    <n v="120"/>
    <n v="100"/>
    <n v="150"/>
    <n v="120"/>
    <n v="90"/>
    <x v="4"/>
    <x v="1"/>
    <x v="0"/>
  </r>
  <r>
    <x v="643"/>
    <x v="707"/>
    <x v="14"/>
    <x v="14"/>
    <n v="680"/>
    <n v="100"/>
    <n v="150"/>
    <n v="120"/>
    <n v="120"/>
    <n v="100"/>
    <n v="90"/>
    <x v="4"/>
    <x v="1"/>
    <x v="0"/>
  </r>
  <r>
    <x v="644"/>
    <x v="708"/>
    <x v="7"/>
    <x v="2"/>
    <n v="600"/>
    <n v="89"/>
    <n v="145"/>
    <n v="90"/>
    <n v="105"/>
    <n v="80"/>
    <n v="91"/>
    <x v="4"/>
    <x v="1"/>
    <x v="0"/>
  </r>
  <r>
    <x v="644"/>
    <x v="709"/>
    <x v="7"/>
    <x v="2"/>
    <n v="600"/>
    <n v="89"/>
    <n v="125"/>
    <n v="90"/>
    <n v="115"/>
    <n v="80"/>
    <n v="101"/>
    <x v="4"/>
    <x v="1"/>
    <x v="0"/>
  </r>
  <r>
    <x v="645"/>
    <x v="710"/>
    <x v="14"/>
    <x v="10"/>
    <n v="700"/>
    <n v="125"/>
    <n v="120"/>
    <n v="90"/>
    <n v="170"/>
    <n v="100"/>
    <n v="95"/>
    <x v="4"/>
    <x v="1"/>
    <x v="0"/>
  </r>
  <r>
    <x v="645"/>
    <x v="711"/>
    <x v="14"/>
    <x v="10"/>
    <n v="660"/>
    <n v="125"/>
    <n v="130"/>
    <n v="90"/>
    <n v="130"/>
    <n v="90"/>
    <n v="95"/>
    <x v="4"/>
    <x v="1"/>
    <x v="0"/>
  </r>
  <r>
    <x v="645"/>
    <x v="712"/>
    <x v="14"/>
    <x v="10"/>
    <n v="700"/>
    <n v="125"/>
    <n v="170"/>
    <n v="100"/>
    <n v="120"/>
    <n v="90"/>
    <n v="95"/>
    <x v="4"/>
    <x v="1"/>
    <x v="0"/>
  </r>
  <r>
    <x v="646"/>
    <x v="713"/>
    <x v="2"/>
    <x v="7"/>
    <n v="580"/>
    <n v="91"/>
    <n v="72"/>
    <n v="90"/>
    <n v="129"/>
    <n v="90"/>
    <n v="108"/>
    <x v="4"/>
    <x v="0"/>
    <x v="0"/>
  </r>
  <r>
    <x v="646"/>
    <x v="714"/>
    <x v="2"/>
    <x v="7"/>
    <n v="580"/>
    <n v="91"/>
    <n v="72"/>
    <n v="90"/>
    <n v="129"/>
    <n v="90"/>
    <n v="108"/>
    <x v="4"/>
    <x v="0"/>
    <x v="0"/>
  </r>
  <r>
    <x v="647"/>
    <x v="715"/>
    <x v="4"/>
    <x v="7"/>
    <n v="600"/>
    <n v="100"/>
    <n v="128"/>
    <n v="90"/>
    <n v="77"/>
    <n v="77"/>
    <n v="128"/>
    <x v="4"/>
    <x v="0"/>
    <x v="0"/>
  </r>
  <r>
    <x v="647"/>
    <x v="716"/>
    <x v="4"/>
    <x v="8"/>
    <n v="600"/>
    <n v="100"/>
    <n v="77"/>
    <n v="77"/>
    <n v="128"/>
    <n v="128"/>
    <n v="90"/>
    <x v="4"/>
    <x v="0"/>
    <x v="0"/>
  </r>
  <r>
    <x v="648"/>
    <x v="717"/>
    <x v="3"/>
    <x v="9"/>
    <n v="600"/>
    <n v="71"/>
    <n v="120"/>
    <n v="95"/>
    <n v="120"/>
    <n v="95"/>
    <n v="99"/>
    <x v="4"/>
    <x v="0"/>
    <x v="0"/>
  </r>
  <r>
    <x v="649"/>
    <x v="718"/>
    <x v="0"/>
    <x v="1"/>
    <n v="313"/>
    <n v="56"/>
    <n v="61"/>
    <n v="65"/>
    <n v="48"/>
    <n v="45"/>
    <n v="38"/>
    <x v="5"/>
    <x v="0"/>
    <x v="0"/>
  </r>
  <r>
    <x v="650"/>
    <x v="719"/>
    <x v="0"/>
    <x v="1"/>
    <n v="405"/>
    <n v="61"/>
    <n v="78"/>
    <n v="95"/>
    <n v="56"/>
    <n v="58"/>
    <n v="57"/>
    <x v="5"/>
    <x v="0"/>
    <x v="0"/>
  </r>
  <r>
    <x v="651"/>
    <x v="720"/>
    <x v="0"/>
    <x v="7"/>
    <n v="530"/>
    <n v="88"/>
    <n v="107"/>
    <n v="122"/>
    <n v="74"/>
    <n v="75"/>
    <n v="64"/>
    <x v="5"/>
    <x v="0"/>
    <x v="0"/>
  </r>
  <r>
    <x v="652"/>
    <x v="721"/>
    <x v="1"/>
    <x v="1"/>
    <n v="307"/>
    <n v="40"/>
    <n v="45"/>
    <n v="40"/>
    <n v="62"/>
    <n v="60"/>
    <n v="60"/>
    <x v="5"/>
    <x v="0"/>
    <x v="0"/>
  </r>
  <r>
    <x v="653"/>
    <x v="722"/>
    <x v="1"/>
    <x v="1"/>
    <n v="409"/>
    <n v="59"/>
    <n v="59"/>
    <n v="58"/>
    <n v="90"/>
    <n v="70"/>
    <n v="73"/>
    <x v="5"/>
    <x v="0"/>
    <x v="0"/>
  </r>
  <r>
    <x v="654"/>
    <x v="723"/>
    <x v="1"/>
    <x v="8"/>
    <n v="534"/>
    <n v="75"/>
    <n v="69"/>
    <n v="72"/>
    <n v="114"/>
    <n v="100"/>
    <n v="104"/>
    <x v="5"/>
    <x v="0"/>
    <x v="0"/>
  </r>
  <r>
    <x v="655"/>
    <x v="724"/>
    <x v="2"/>
    <x v="1"/>
    <n v="314"/>
    <n v="41"/>
    <n v="56"/>
    <n v="40"/>
    <n v="62"/>
    <n v="44"/>
    <n v="71"/>
    <x v="5"/>
    <x v="0"/>
    <x v="0"/>
  </r>
  <r>
    <x v="656"/>
    <x v="725"/>
    <x v="2"/>
    <x v="1"/>
    <n v="405"/>
    <n v="54"/>
    <n v="63"/>
    <n v="52"/>
    <n v="83"/>
    <n v="56"/>
    <n v="97"/>
    <x v="5"/>
    <x v="0"/>
    <x v="0"/>
  </r>
  <r>
    <x v="657"/>
    <x v="726"/>
    <x v="2"/>
    <x v="12"/>
    <n v="530"/>
    <n v="72"/>
    <n v="95"/>
    <n v="67"/>
    <n v="103"/>
    <n v="71"/>
    <n v="122"/>
    <x v="5"/>
    <x v="0"/>
    <x v="0"/>
  </r>
  <r>
    <x v="658"/>
    <x v="727"/>
    <x v="4"/>
    <x v="1"/>
    <n v="237"/>
    <n v="38"/>
    <n v="36"/>
    <n v="38"/>
    <n v="32"/>
    <n v="36"/>
    <n v="57"/>
    <x v="5"/>
    <x v="0"/>
    <x v="0"/>
  </r>
  <r>
    <x v="659"/>
    <x v="728"/>
    <x v="4"/>
    <x v="4"/>
    <n v="423"/>
    <n v="85"/>
    <n v="56"/>
    <n v="77"/>
    <n v="50"/>
    <n v="77"/>
    <n v="78"/>
    <x v="5"/>
    <x v="0"/>
    <x v="0"/>
  </r>
  <r>
    <x v="660"/>
    <x v="729"/>
    <x v="4"/>
    <x v="2"/>
    <n v="278"/>
    <n v="45"/>
    <n v="50"/>
    <n v="43"/>
    <n v="40"/>
    <n v="38"/>
    <n v="62"/>
    <x v="5"/>
    <x v="0"/>
    <x v="0"/>
  </r>
  <r>
    <x v="661"/>
    <x v="730"/>
    <x v="1"/>
    <x v="2"/>
    <n v="382"/>
    <n v="62"/>
    <n v="73"/>
    <n v="55"/>
    <n v="56"/>
    <n v="52"/>
    <n v="84"/>
    <x v="5"/>
    <x v="0"/>
    <x v="0"/>
  </r>
  <r>
    <x v="662"/>
    <x v="731"/>
    <x v="1"/>
    <x v="2"/>
    <n v="499"/>
    <n v="78"/>
    <n v="81"/>
    <n v="71"/>
    <n v="74"/>
    <n v="69"/>
    <n v="126"/>
    <x v="5"/>
    <x v="0"/>
    <x v="0"/>
  </r>
  <r>
    <x v="663"/>
    <x v="732"/>
    <x v="3"/>
    <x v="1"/>
    <n v="200"/>
    <n v="38"/>
    <n v="35"/>
    <n v="40"/>
    <n v="27"/>
    <n v="25"/>
    <n v="35"/>
    <x v="5"/>
    <x v="0"/>
    <x v="0"/>
  </r>
  <r>
    <x v="664"/>
    <x v="733"/>
    <x v="3"/>
    <x v="1"/>
    <n v="213"/>
    <n v="45"/>
    <n v="22"/>
    <n v="60"/>
    <n v="27"/>
    <n v="30"/>
    <n v="29"/>
    <x v="5"/>
    <x v="0"/>
    <x v="0"/>
  </r>
  <r>
    <x v="665"/>
    <x v="734"/>
    <x v="3"/>
    <x v="2"/>
    <n v="411"/>
    <n v="80"/>
    <n v="52"/>
    <n v="50"/>
    <n v="90"/>
    <n v="50"/>
    <n v="89"/>
    <x v="5"/>
    <x v="0"/>
    <x v="0"/>
  </r>
  <r>
    <x v="666"/>
    <x v="735"/>
    <x v="1"/>
    <x v="18"/>
    <n v="369"/>
    <n v="62"/>
    <n v="50"/>
    <n v="58"/>
    <n v="73"/>
    <n v="54"/>
    <n v="72"/>
    <x v="5"/>
    <x v="0"/>
    <x v="0"/>
  </r>
  <r>
    <x v="667"/>
    <x v="736"/>
    <x v="1"/>
    <x v="18"/>
    <n v="507"/>
    <n v="86"/>
    <n v="68"/>
    <n v="72"/>
    <n v="109"/>
    <n v="66"/>
    <n v="106"/>
    <x v="5"/>
    <x v="0"/>
    <x v="0"/>
  </r>
  <r>
    <x v="668"/>
    <x v="737"/>
    <x v="8"/>
    <x v="1"/>
    <n v="303"/>
    <n v="44"/>
    <n v="38"/>
    <n v="39"/>
    <n v="61"/>
    <n v="79"/>
    <n v="42"/>
    <x v="5"/>
    <x v="0"/>
    <x v="0"/>
  </r>
  <r>
    <x v="669"/>
    <x v="738"/>
    <x v="8"/>
    <x v="1"/>
    <n v="371"/>
    <n v="54"/>
    <n v="45"/>
    <n v="47"/>
    <n v="75"/>
    <n v="98"/>
    <n v="52"/>
    <x v="5"/>
    <x v="0"/>
    <x v="0"/>
  </r>
  <r>
    <x v="670"/>
    <x v="739"/>
    <x v="8"/>
    <x v="1"/>
    <n v="552"/>
    <n v="78"/>
    <n v="65"/>
    <n v="68"/>
    <n v="112"/>
    <n v="154"/>
    <n v="75"/>
    <x v="5"/>
    <x v="0"/>
    <x v="0"/>
  </r>
  <r>
    <x v="671"/>
    <x v="740"/>
    <x v="0"/>
    <x v="1"/>
    <n v="350"/>
    <n v="66"/>
    <n v="65"/>
    <n v="48"/>
    <n v="62"/>
    <n v="57"/>
    <n v="52"/>
    <x v="5"/>
    <x v="0"/>
    <x v="0"/>
  </r>
  <r>
    <x v="672"/>
    <x v="741"/>
    <x v="0"/>
    <x v="1"/>
    <n v="531"/>
    <n v="123"/>
    <n v="100"/>
    <n v="62"/>
    <n v="97"/>
    <n v="81"/>
    <n v="68"/>
    <x v="5"/>
    <x v="0"/>
    <x v="0"/>
  </r>
  <r>
    <x v="673"/>
    <x v="742"/>
    <x v="9"/>
    <x v="1"/>
    <n v="348"/>
    <n v="67"/>
    <n v="82"/>
    <n v="62"/>
    <n v="46"/>
    <n v="48"/>
    <n v="43"/>
    <x v="5"/>
    <x v="0"/>
    <x v="0"/>
  </r>
  <r>
    <x v="674"/>
    <x v="743"/>
    <x v="9"/>
    <x v="12"/>
    <n v="495"/>
    <n v="95"/>
    <n v="124"/>
    <n v="78"/>
    <n v="69"/>
    <n v="71"/>
    <n v="58"/>
    <x v="5"/>
    <x v="0"/>
    <x v="0"/>
  </r>
  <r>
    <x v="675"/>
    <x v="744"/>
    <x v="4"/>
    <x v="1"/>
    <n v="472"/>
    <n v="75"/>
    <n v="80"/>
    <n v="60"/>
    <n v="65"/>
    <n v="90"/>
    <n v="102"/>
    <x v="5"/>
    <x v="0"/>
    <x v="0"/>
  </r>
  <r>
    <x v="676"/>
    <x v="745"/>
    <x v="10"/>
    <x v="1"/>
    <n v="355"/>
    <n v="62"/>
    <n v="48"/>
    <n v="54"/>
    <n v="63"/>
    <n v="60"/>
    <n v="68"/>
    <x v="5"/>
    <x v="0"/>
    <x v="0"/>
  </r>
  <r>
    <x v="677"/>
    <x v="746"/>
    <x v="10"/>
    <x v="1"/>
    <n v="466"/>
    <n v="74"/>
    <n v="48"/>
    <n v="76"/>
    <n v="83"/>
    <n v="81"/>
    <n v="104"/>
    <x v="5"/>
    <x v="0"/>
    <x v="0"/>
  </r>
  <r>
    <x v="677"/>
    <x v="747"/>
    <x v="10"/>
    <x v="1"/>
    <n v="466"/>
    <n v="74"/>
    <n v="48"/>
    <n v="76"/>
    <n v="83"/>
    <n v="81"/>
    <n v="104"/>
    <x v="5"/>
    <x v="0"/>
    <x v="0"/>
  </r>
  <r>
    <x v="678"/>
    <x v="748"/>
    <x v="16"/>
    <x v="16"/>
    <n v="325"/>
    <n v="45"/>
    <n v="80"/>
    <n v="100"/>
    <n v="35"/>
    <n v="37"/>
    <n v="28"/>
    <x v="5"/>
    <x v="0"/>
    <x v="0"/>
  </r>
  <r>
    <x v="679"/>
    <x v="749"/>
    <x v="16"/>
    <x v="16"/>
    <n v="448"/>
    <n v="59"/>
    <n v="110"/>
    <n v="150"/>
    <n v="45"/>
    <n v="49"/>
    <n v="35"/>
    <x v="5"/>
    <x v="0"/>
    <x v="0"/>
  </r>
  <r>
    <x v="680"/>
    <x v="750"/>
    <x v="16"/>
    <x v="16"/>
    <n v="520"/>
    <n v="60"/>
    <n v="50"/>
    <n v="150"/>
    <n v="50"/>
    <n v="150"/>
    <n v="60"/>
    <x v="5"/>
    <x v="0"/>
    <x v="0"/>
  </r>
  <r>
    <x v="680"/>
    <x v="751"/>
    <x v="16"/>
    <x v="16"/>
    <n v="520"/>
    <n v="60"/>
    <n v="150"/>
    <n v="50"/>
    <n v="150"/>
    <n v="50"/>
    <n v="60"/>
    <x v="5"/>
    <x v="0"/>
    <x v="0"/>
  </r>
  <r>
    <x v="681"/>
    <x v="752"/>
    <x v="8"/>
    <x v="1"/>
    <n v="341"/>
    <n v="78"/>
    <n v="52"/>
    <n v="60"/>
    <n v="63"/>
    <n v="65"/>
    <n v="23"/>
    <x v="5"/>
    <x v="0"/>
    <x v="0"/>
  </r>
  <r>
    <x v="682"/>
    <x v="753"/>
    <x v="8"/>
    <x v="1"/>
    <n v="462"/>
    <n v="101"/>
    <n v="72"/>
    <n v="72"/>
    <n v="99"/>
    <n v="89"/>
    <n v="29"/>
    <x v="5"/>
    <x v="0"/>
    <x v="0"/>
  </r>
  <r>
    <x v="683"/>
    <x v="754"/>
    <x v="8"/>
    <x v="1"/>
    <n v="341"/>
    <n v="62"/>
    <n v="48"/>
    <n v="66"/>
    <n v="59"/>
    <n v="57"/>
    <n v="49"/>
    <x v="5"/>
    <x v="0"/>
    <x v="0"/>
  </r>
  <r>
    <x v="684"/>
    <x v="755"/>
    <x v="8"/>
    <x v="1"/>
    <n v="480"/>
    <n v="82"/>
    <n v="80"/>
    <n v="86"/>
    <n v="85"/>
    <n v="75"/>
    <n v="72"/>
    <x v="5"/>
    <x v="0"/>
    <x v="0"/>
  </r>
  <r>
    <x v="685"/>
    <x v="756"/>
    <x v="15"/>
    <x v="8"/>
    <n v="288"/>
    <n v="53"/>
    <n v="54"/>
    <n v="53"/>
    <n v="37"/>
    <n v="46"/>
    <n v="45"/>
    <x v="5"/>
    <x v="0"/>
    <x v="0"/>
  </r>
  <r>
    <x v="686"/>
    <x v="757"/>
    <x v="15"/>
    <x v="8"/>
    <n v="482"/>
    <n v="86"/>
    <n v="92"/>
    <n v="88"/>
    <n v="68"/>
    <n v="75"/>
    <n v="73"/>
    <x v="5"/>
    <x v="0"/>
    <x v="0"/>
  </r>
  <r>
    <x v="687"/>
    <x v="758"/>
    <x v="11"/>
    <x v="13"/>
    <n v="306"/>
    <n v="42"/>
    <n v="52"/>
    <n v="67"/>
    <n v="39"/>
    <n v="56"/>
    <n v="50"/>
    <x v="5"/>
    <x v="0"/>
    <x v="0"/>
  </r>
  <r>
    <x v="688"/>
    <x v="759"/>
    <x v="11"/>
    <x v="13"/>
    <n v="500"/>
    <n v="72"/>
    <n v="105"/>
    <n v="115"/>
    <n v="54"/>
    <n v="86"/>
    <n v="68"/>
    <x v="5"/>
    <x v="0"/>
    <x v="0"/>
  </r>
  <r>
    <x v="689"/>
    <x v="760"/>
    <x v="5"/>
    <x v="13"/>
    <n v="320"/>
    <n v="50"/>
    <n v="60"/>
    <n v="60"/>
    <n v="60"/>
    <n v="60"/>
    <n v="30"/>
    <x v="5"/>
    <x v="0"/>
    <x v="0"/>
  </r>
  <r>
    <x v="690"/>
    <x v="761"/>
    <x v="5"/>
    <x v="3"/>
    <n v="494"/>
    <n v="65"/>
    <n v="75"/>
    <n v="90"/>
    <n v="97"/>
    <n v="123"/>
    <n v="44"/>
    <x v="5"/>
    <x v="0"/>
    <x v="0"/>
  </r>
  <r>
    <x v="691"/>
    <x v="762"/>
    <x v="2"/>
    <x v="1"/>
    <n v="330"/>
    <n v="50"/>
    <n v="53"/>
    <n v="62"/>
    <n v="58"/>
    <n v="63"/>
    <n v="44"/>
    <x v="5"/>
    <x v="0"/>
    <x v="0"/>
  </r>
  <r>
    <x v="692"/>
    <x v="763"/>
    <x v="2"/>
    <x v="1"/>
    <n v="500"/>
    <n v="71"/>
    <n v="73"/>
    <n v="88"/>
    <n v="120"/>
    <n v="89"/>
    <n v="59"/>
    <x v="5"/>
    <x v="0"/>
    <x v="0"/>
  </r>
  <r>
    <x v="693"/>
    <x v="764"/>
    <x v="6"/>
    <x v="18"/>
    <n v="289"/>
    <n v="44"/>
    <n v="38"/>
    <n v="33"/>
    <n v="61"/>
    <n v="43"/>
    <n v="70"/>
    <x v="5"/>
    <x v="0"/>
    <x v="0"/>
  </r>
  <r>
    <x v="694"/>
    <x v="765"/>
    <x v="6"/>
    <x v="18"/>
    <n v="481"/>
    <n v="62"/>
    <n v="55"/>
    <n v="52"/>
    <n v="109"/>
    <n v="94"/>
    <n v="109"/>
    <x v="5"/>
    <x v="0"/>
    <x v="0"/>
  </r>
  <r>
    <x v="695"/>
    <x v="766"/>
    <x v="11"/>
    <x v="3"/>
    <n v="362"/>
    <n v="58"/>
    <n v="89"/>
    <n v="77"/>
    <n v="45"/>
    <n v="45"/>
    <n v="48"/>
    <x v="5"/>
    <x v="0"/>
    <x v="0"/>
  </r>
  <r>
    <x v="696"/>
    <x v="767"/>
    <x v="11"/>
    <x v="3"/>
    <n v="521"/>
    <n v="82"/>
    <n v="121"/>
    <n v="119"/>
    <n v="69"/>
    <n v="59"/>
    <n v="71"/>
    <x v="5"/>
    <x v="0"/>
    <x v="0"/>
  </r>
  <r>
    <x v="697"/>
    <x v="768"/>
    <x v="11"/>
    <x v="10"/>
    <n v="362"/>
    <n v="77"/>
    <n v="59"/>
    <n v="50"/>
    <n v="67"/>
    <n v="63"/>
    <n v="46"/>
    <x v="5"/>
    <x v="0"/>
    <x v="0"/>
  </r>
  <r>
    <x v="698"/>
    <x v="769"/>
    <x v="11"/>
    <x v="10"/>
    <n v="521"/>
    <n v="123"/>
    <n v="77"/>
    <n v="72"/>
    <n v="99"/>
    <n v="92"/>
    <n v="58"/>
    <x v="5"/>
    <x v="0"/>
    <x v="0"/>
  </r>
  <r>
    <x v="699"/>
    <x v="770"/>
    <x v="8"/>
    <x v="1"/>
    <n v="525"/>
    <n v="95"/>
    <n v="65"/>
    <n v="65"/>
    <n v="110"/>
    <n v="130"/>
    <n v="60"/>
    <x v="5"/>
    <x v="0"/>
    <x v="0"/>
  </r>
  <r>
    <x v="700"/>
    <x v="771"/>
    <x v="9"/>
    <x v="2"/>
    <n v="500"/>
    <n v="78"/>
    <n v="92"/>
    <n v="75"/>
    <n v="74"/>
    <n v="63"/>
    <n v="118"/>
    <x v="5"/>
    <x v="0"/>
    <x v="0"/>
  </r>
  <r>
    <x v="701"/>
    <x v="772"/>
    <x v="6"/>
    <x v="5"/>
    <n v="431"/>
    <n v="67"/>
    <n v="58"/>
    <n v="57"/>
    <n v="81"/>
    <n v="67"/>
    <n v="101"/>
    <x v="5"/>
    <x v="0"/>
    <x v="0"/>
  </r>
  <r>
    <x v="702"/>
    <x v="773"/>
    <x v="11"/>
    <x v="5"/>
    <n v="500"/>
    <n v="50"/>
    <n v="50"/>
    <n v="150"/>
    <n v="50"/>
    <n v="150"/>
    <n v="50"/>
    <x v="5"/>
    <x v="0"/>
    <x v="0"/>
  </r>
  <r>
    <x v="703"/>
    <x v="774"/>
    <x v="14"/>
    <x v="1"/>
    <n v="300"/>
    <n v="45"/>
    <n v="50"/>
    <n v="35"/>
    <n v="55"/>
    <n v="75"/>
    <n v="40"/>
    <x v="5"/>
    <x v="0"/>
    <x v="0"/>
  </r>
  <r>
    <x v="704"/>
    <x v="775"/>
    <x v="14"/>
    <x v="1"/>
    <n v="452"/>
    <n v="68"/>
    <n v="75"/>
    <n v="53"/>
    <n v="83"/>
    <n v="113"/>
    <n v="60"/>
    <x v="5"/>
    <x v="0"/>
    <x v="0"/>
  </r>
  <r>
    <x v="705"/>
    <x v="776"/>
    <x v="14"/>
    <x v="1"/>
    <n v="600"/>
    <n v="90"/>
    <n v="100"/>
    <n v="70"/>
    <n v="110"/>
    <n v="150"/>
    <n v="80"/>
    <x v="5"/>
    <x v="0"/>
    <x v="0"/>
  </r>
  <r>
    <x v="706"/>
    <x v="777"/>
    <x v="16"/>
    <x v="5"/>
    <n v="470"/>
    <n v="57"/>
    <n v="80"/>
    <n v="91"/>
    <n v="80"/>
    <n v="87"/>
    <n v="75"/>
    <x v="5"/>
    <x v="0"/>
    <x v="0"/>
  </r>
  <r>
    <x v="707"/>
    <x v="778"/>
    <x v="12"/>
    <x v="6"/>
    <n v="309"/>
    <n v="43"/>
    <n v="70"/>
    <n v="48"/>
    <n v="50"/>
    <n v="60"/>
    <n v="38"/>
    <x v="5"/>
    <x v="0"/>
    <x v="0"/>
  </r>
  <r>
    <x v="708"/>
    <x v="779"/>
    <x v="12"/>
    <x v="6"/>
    <n v="474"/>
    <n v="85"/>
    <n v="110"/>
    <n v="76"/>
    <n v="65"/>
    <n v="82"/>
    <n v="56"/>
    <x v="5"/>
    <x v="0"/>
    <x v="0"/>
  </r>
  <r>
    <x v="709"/>
    <x v="780"/>
    <x v="12"/>
    <x v="6"/>
    <n v="335"/>
    <n v="49"/>
    <n v="66"/>
    <n v="70"/>
    <n v="44"/>
    <n v="55"/>
    <n v="51"/>
    <x v="5"/>
    <x v="0"/>
    <x v="0"/>
  </r>
  <r>
    <x v="709"/>
    <x v="781"/>
    <x v="12"/>
    <x v="6"/>
    <n v="335"/>
    <n v="54"/>
    <n v="66"/>
    <n v="70"/>
    <n v="44"/>
    <n v="55"/>
    <n v="46"/>
    <x v="5"/>
    <x v="0"/>
    <x v="0"/>
  </r>
  <r>
    <x v="709"/>
    <x v="782"/>
    <x v="12"/>
    <x v="6"/>
    <n v="335"/>
    <n v="59"/>
    <n v="66"/>
    <n v="70"/>
    <n v="44"/>
    <n v="55"/>
    <n v="41"/>
    <x v="5"/>
    <x v="0"/>
    <x v="0"/>
  </r>
  <r>
    <x v="709"/>
    <x v="783"/>
    <x v="12"/>
    <x v="6"/>
    <n v="335"/>
    <n v="44"/>
    <n v="66"/>
    <n v="70"/>
    <n v="44"/>
    <n v="55"/>
    <n v="56"/>
    <x v="5"/>
    <x v="0"/>
    <x v="0"/>
  </r>
  <r>
    <x v="710"/>
    <x v="784"/>
    <x v="12"/>
    <x v="6"/>
    <n v="494"/>
    <n v="55"/>
    <n v="85"/>
    <n v="122"/>
    <n v="58"/>
    <n v="75"/>
    <n v="99"/>
    <x v="5"/>
    <x v="0"/>
    <x v="0"/>
  </r>
  <r>
    <x v="710"/>
    <x v="785"/>
    <x v="12"/>
    <x v="6"/>
    <n v="494"/>
    <n v="85"/>
    <n v="100"/>
    <n v="122"/>
    <n v="58"/>
    <n v="75"/>
    <n v="54"/>
    <x v="5"/>
    <x v="0"/>
    <x v="0"/>
  </r>
  <r>
    <x v="710"/>
    <x v="786"/>
    <x v="12"/>
    <x v="6"/>
    <n v="494"/>
    <n v="65"/>
    <n v="90"/>
    <n v="122"/>
    <n v="58"/>
    <n v="75"/>
    <n v="84"/>
    <x v="5"/>
    <x v="0"/>
    <x v="0"/>
  </r>
  <r>
    <x v="710"/>
    <x v="787"/>
    <x v="12"/>
    <x v="6"/>
    <n v="494"/>
    <n v="75"/>
    <n v="95"/>
    <n v="122"/>
    <n v="58"/>
    <n v="75"/>
    <n v="69"/>
    <x v="5"/>
    <x v="0"/>
    <x v="0"/>
  </r>
  <r>
    <x v="711"/>
    <x v="788"/>
    <x v="13"/>
    <x v="1"/>
    <n v="304"/>
    <n v="55"/>
    <n v="69"/>
    <n v="85"/>
    <n v="32"/>
    <n v="35"/>
    <n v="28"/>
    <x v="5"/>
    <x v="0"/>
    <x v="0"/>
  </r>
  <r>
    <x v="712"/>
    <x v="789"/>
    <x v="13"/>
    <x v="1"/>
    <n v="514"/>
    <n v="95"/>
    <n v="117"/>
    <n v="184"/>
    <n v="44"/>
    <n v="46"/>
    <n v="28"/>
    <x v="5"/>
    <x v="0"/>
    <x v="0"/>
  </r>
  <r>
    <x v="713"/>
    <x v="790"/>
    <x v="17"/>
    <x v="3"/>
    <n v="245"/>
    <n v="40"/>
    <n v="30"/>
    <n v="35"/>
    <n v="45"/>
    <n v="40"/>
    <n v="55"/>
    <x v="5"/>
    <x v="0"/>
    <x v="0"/>
  </r>
  <r>
    <x v="714"/>
    <x v="791"/>
    <x v="17"/>
    <x v="3"/>
    <n v="535"/>
    <n v="85"/>
    <n v="70"/>
    <n v="80"/>
    <n v="97"/>
    <n v="80"/>
    <n v="123"/>
    <x v="5"/>
    <x v="0"/>
    <x v="0"/>
  </r>
  <r>
    <x v="715"/>
    <x v="792"/>
    <x v="8"/>
    <x v="1"/>
    <n v="680"/>
    <n v="126"/>
    <n v="131"/>
    <n v="95"/>
    <n v="131"/>
    <n v="98"/>
    <n v="99"/>
    <x v="5"/>
    <x v="1"/>
    <x v="0"/>
  </r>
  <r>
    <x v="716"/>
    <x v="793"/>
    <x v="15"/>
    <x v="2"/>
    <n v="680"/>
    <n v="126"/>
    <n v="131"/>
    <n v="95"/>
    <n v="131"/>
    <n v="98"/>
    <n v="99"/>
    <x v="5"/>
    <x v="1"/>
    <x v="0"/>
  </r>
  <r>
    <x v="717"/>
    <x v="794"/>
    <x v="14"/>
    <x v="4"/>
    <n v="600"/>
    <n v="108"/>
    <n v="100"/>
    <n v="121"/>
    <n v="81"/>
    <n v="95"/>
    <n v="95"/>
    <x v="5"/>
    <x v="1"/>
    <x v="0"/>
  </r>
  <r>
    <x v="718"/>
    <x v="795"/>
    <x v="11"/>
    <x v="5"/>
    <n v="700"/>
    <n v="50"/>
    <n v="160"/>
    <n v="110"/>
    <n v="160"/>
    <n v="110"/>
    <n v="110"/>
    <x v="5"/>
    <x v="1"/>
    <x v="1"/>
  </r>
  <r>
    <x v="718"/>
    <x v="796"/>
    <x v="11"/>
    <x v="5"/>
    <n v="600"/>
    <n v="50"/>
    <n v="100"/>
    <n v="150"/>
    <n v="100"/>
    <n v="150"/>
    <n v="50"/>
    <x v="5"/>
    <x v="1"/>
    <x v="0"/>
  </r>
  <r>
    <x v="719"/>
    <x v="797"/>
    <x v="10"/>
    <x v="16"/>
    <n v="600"/>
    <n v="80"/>
    <n v="110"/>
    <n v="60"/>
    <n v="150"/>
    <n v="130"/>
    <n v="70"/>
    <x v="5"/>
    <x v="1"/>
    <x v="0"/>
  </r>
  <r>
    <x v="719"/>
    <x v="798"/>
    <x v="10"/>
    <x v="12"/>
    <n v="680"/>
    <n v="80"/>
    <n v="160"/>
    <n v="60"/>
    <n v="170"/>
    <n v="130"/>
    <n v="80"/>
    <x v="5"/>
    <x v="1"/>
    <x v="0"/>
  </r>
  <r>
    <x v="720"/>
    <x v="799"/>
    <x v="1"/>
    <x v="13"/>
    <n v="600"/>
    <n v="80"/>
    <n v="110"/>
    <n v="120"/>
    <n v="130"/>
    <n v="90"/>
    <n v="70"/>
    <x v="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C91DB-C0EB-40F0-AC4B-AB52730F8499}" name="PivotTable1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">
  <location ref="A7:H758" firstHeaderRow="0" firstDataRow="1" firstDataCol="1" rowPageCount="5" colPageCount="1"/>
  <pivotFields count="14">
    <pivotField showAll="0"/>
    <pivotField axis="axisRow" showAll="0">
      <items count="801">
        <item x="511"/>
        <item x="510"/>
        <item x="68"/>
        <item x="393"/>
        <item x="392"/>
        <item x="678"/>
        <item x="751"/>
        <item x="750"/>
        <item x="154"/>
        <item x="153"/>
        <item x="333"/>
        <item x="332"/>
        <item x="205"/>
        <item x="70"/>
        <item x="71"/>
        <item x="655"/>
        <item x="366"/>
        <item x="365"/>
        <item x="768"/>
        <item x="471"/>
        <item x="652"/>
        <item x="196"/>
        <item x="195"/>
        <item x="379"/>
        <item x="29"/>
        <item x="64"/>
        <item x="552"/>
        <item x="627"/>
        <item x="628"/>
        <item x="182"/>
        <item x="380"/>
        <item x="753"/>
        <item x="330"/>
        <item x="156"/>
        <item x="590"/>
        <item x="591"/>
        <item x="769"/>
        <item x="789"/>
        <item x="671"/>
        <item x="539"/>
        <item x="199"/>
        <item x="322"/>
        <item x="406"/>
        <item x="375"/>
        <item x="386"/>
        <item x="387"/>
        <item x="759"/>
        <item x="371"/>
        <item x="610"/>
        <item x="456"/>
        <item x="167"/>
        <item x="675"/>
        <item x="290"/>
        <item x="18"/>
        <item x="19"/>
        <item x="667"/>
        <item x="410"/>
        <item x="197"/>
        <item x="75"/>
        <item x="788"/>
        <item x="445"/>
        <item x="444"/>
        <item x="758"/>
        <item x="686"/>
        <item x="11"/>
        <item x="12"/>
        <item x="278"/>
        <item x="279"/>
        <item x="261"/>
        <item x="581"/>
        <item x="584"/>
        <item x="486"/>
        <item x="687"/>
        <item x="722"/>
        <item x="689"/>
        <item x="310"/>
        <item x="485"/>
        <item x="484"/>
        <item x="451"/>
        <item x="465"/>
        <item x="0"/>
        <item x="474"/>
        <item x="727"/>
        <item x="457"/>
        <item x="15"/>
        <item x="362"/>
        <item x="363"/>
        <item x="354"/>
        <item x="353"/>
        <item x="773"/>
        <item x="505"/>
        <item x="626"/>
        <item x="347"/>
        <item x="291"/>
        <item x="383"/>
        <item x="13"/>
        <item x="271"/>
        <item x="670"/>
        <item x="121"/>
        <item x="6"/>
        <item x="7"/>
        <item x="8"/>
        <item x="4"/>
        <item x="5"/>
        <item x="489"/>
        <item x="468"/>
        <item x="467"/>
        <item x="720"/>
        <item x="718"/>
        <item x="166"/>
        <item x="435"/>
        <item x="391"/>
        <item x="184"/>
        <item x="481"/>
        <item x="634"/>
        <item x="401"/>
        <item x="762"/>
        <item x="763"/>
        <item x="376"/>
        <item x="41"/>
        <item x="40"/>
        <item x="187"/>
        <item x="98"/>
        <item x="699"/>
        <item x="624"/>
        <item x="462"/>
        <item x="277"/>
        <item x="594"/>
        <item x="373"/>
        <item x="240"/>
        <item x="606"/>
        <item x="378"/>
        <item x="453"/>
        <item x="374"/>
        <item x="546"/>
        <item x="503"/>
        <item x="183"/>
        <item x="173"/>
        <item x="619"/>
        <item x="676"/>
        <item x="674"/>
        <item x="112"/>
        <item x="169"/>
        <item x="549"/>
        <item x="615"/>
        <item x="616"/>
        <item x="614"/>
        <item x="772"/>
        <item x="646"/>
        <item x="694"/>
        <item x="325"/>
        <item x="243"/>
        <item x="723"/>
        <item x="428"/>
        <item x="430"/>
        <item x="431"/>
        <item x="429"/>
        <item x="94"/>
        <item x="561"/>
        <item x="540"/>
        <item x="796"/>
        <item x="795"/>
        <item x="728"/>
        <item x="55"/>
        <item x="143"/>
        <item x="92"/>
        <item x="91"/>
        <item x="251"/>
        <item x="749"/>
        <item x="761"/>
        <item x="160"/>
        <item x="161"/>
        <item x="502"/>
        <item x="159"/>
        <item x="473"/>
        <item x="472"/>
        <item x="588"/>
        <item x="104"/>
        <item x="682"/>
        <item x="641"/>
        <item x="56"/>
        <item x="221"/>
        <item x="639"/>
        <item x="693"/>
        <item x="389"/>
        <item x="529"/>
        <item x="388"/>
        <item x="292"/>
        <item x="618"/>
        <item x="664"/>
        <item x="665"/>
        <item x="144"/>
        <item x="28"/>
        <item x="134"/>
        <item x="517"/>
        <item x="337"/>
        <item x="109"/>
        <item x="258"/>
        <item x="666"/>
        <item x="559"/>
        <item x="648"/>
        <item x="440"/>
        <item x="263"/>
        <item x="650"/>
        <item x="211"/>
        <item x="745"/>
        <item x="589"/>
        <item x="110"/>
        <item x="111"/>
        <item x="319"/>
        <item x="90"/>
        <item x="27"/>
        <item x="381"/>
        <item x="721"/>
        <item x="174"/>
        <item x="658"/>
        <item x="659"/>
        <item x="506"/>
        <item x="194"/>
        <item x="737"/>
        <item x="147"/>
        <item x="730"/>
        <item x="729"/>
        <item x="466"/>
        <item x="738"/>
        <item x="739"/>
        <item x="361"/>
        <item x="651"/>
        <item x="220"/>
        <item x="672"/>
        <item x="653"/>
        <item x="724"/>
        <item x="725"/>
        <item x="530"/>
        <item x="744"/>
        <item x="176"/>
        <item x="492"/>
        <item x="526"/>
        <item x="527"/>
        <item x="657"/>
        <item x="630"/>
        <item x="493"/>
        <item x="494"/>
        <item x="305"/>
        <item x="306"/>
        <item x="99"/>
        <item x="470"/>
        <item x="717"/>
        <item x="102"/>
        <item x="101"/>
        <item x="80"/>
        <item x="491"/>
        <item x="585"/>
        <item x="218"/>
        <item x="544"/>
        <item x="545"/>
        <item x="522"/>
        <item x="397"/>
        <item x="396"/>
        <item x="479"/>
        <item x="222"/>
        <item x="523"/>
        <item x="49"/>
        <item x="741"/>
        <item x="47"/>
        <item x="127"/>
        <item x="60"/>
        <item x="82"/>
        <item x="683"/>
        <item x="684"/>
        <item x="776"/>
        <item x="774"/>
        <item x="403"/>
        <item x="635"/>
        <item x="637"/>
        <item x="636"/>
        <item x="786"/>
        <item x="787"/>
        <item x="784"/>
        <item x="785"/>
        <item x="226"/>
        <item x="81"/>
        <item x="726"/>
        <item x="95"/>
        <item x="433"/>
        <item x="424"/>
        <item x="423"/>
        <item x="273"/>
        <item x="63"/>
        <item x="357"/>
        <item x="345"/>
        <item x="593"/>
        <item x="141"/>
        <item x="140"/>
        <item x="488"/>
        <item x="321"/>
        <item x="100"/>
        <item x="771"/>
        <item x="673"/>
        <item x="692"/>
        <item x="542"/>
        <item x="765"/>
        <item x="764"/>
        <item x="231"/>
        <item x="232"/>
        <item x="566"/>
        <item x="499"/>
        <item x="500"/>
        <item x="115"/>
        <item x="114"/>
        <item x="256"/>
        <item x="478"/>
        <item x="748"/>
        <item x="270"/>
        <item x="797"/>
        <item x="798"/>
        <item x="177"/>
        <item x="202"/>
        <item x="125"/>
        <item x="247"/>
        <item x="248"/>
        <item x="246"/>
        <item x="402"/>
        <item x="696"/>
        <item x="105"/>
        <item x="188"/>
        <item x="343"/>
        <item x="437"/>
        <item x="756"/>
        <item x="1"/>
        <item x="654"/>
        <item x="44"/>
        <item x="427"/>
        <item x="146"/>
        <item x="656"/>
        <item x="204"/>
        <item x="133"/>
        <item x="151"/>
        <item x="152"/>
        <item x="69"/>
        <item x="17"/>
        <item x="123"/>
        <item x="124"/>
        <item x="649"/>
        <item x="384"/>
        <item x="714"/>
        <item x="713"/>
        <item x="249"/>
        <item x="107"/>
        <item x="304"/>
        <item x="661"/>
        <item x="777"/>
        <item x="660"/>
        <item x="662"/>
        <item x="117"/>
        <item x="106"/>
        <item x="446"/>
        <item x="447"/>
        <item x="612"/>
        <item x="613"/>
        <item x="422"/>
        <item x="421"/>
        <item x="711"/>
        <item x="712"/>
        <item x="710"/>
        <item x="331"/>
        <item x="669"/>
        <item x="709"/>
        <item x="708"/>
        <item x="185"/>
        <item x="142"/>
        <item x="697"/>
        <item x="265"/>
        <item x="417"/>
        <item x="418"/>
        <item x="420"/>
        <item x="419"/>
        <item x="521"/>
        <item x="602"/>
        <item x="180"/>
        <item x="179"/>
        <item x="514"/>
        <item x="116"/>
        <item x="569"/>
        <item x="377"/>
        <item x="609"/>
        <item x="565"/>
        <item x="287"/>
        <item x="735"/>
        <item x="668"/>
        <item x="294"/>
        <item x="475"/>
        <item x="476"/>
        <item x="293"/>
        <item x="318"/>
        <item x="498"/>
        <item x="497"/>
        <item x="295"/>
        <item x="269"/>
        <item x="507"/>
        <item x="369"/>
        <item x="405"/>
        <item x="449"/>
        <item x="450"/>
        <item x="74"/>
        <item x="73"/>
        <item x="72"/>
        <item x="259"/>
        <item x="237"/>
        <item x="139"/>
        <item x="135"/>
        <item x="518"/>
        <item x="88"/>
        <item x="89"/>
        <item x="513"/>
        <item x="320"/>
        <item x="757"/>
        <item x="524"/>
        <item x="548"/>
        <item x="691"/>
        <item x="339"/>
        <item x="338"/>
        <item x="61"/>
        <item x="244"/>
        <item x="508"/>
        <item x="617"/>
        <item x="193"/>
        <item x="198"/>
        <item x="113"/>
        <item x="281"/>
        <item x="308"/>
        <item x="329"/>
        <item x="328"/>
        <item x="335"/>
        <item x="336"/>
        <item x="334"/>
        <item x="168"/>
        <item x="716"/>
        <item x="715"/>
        <item x="747"/>
        <item x="746"/>
        <item x="57"/>
        <item x="538"/>
        <item x="413"/>
        <item x="412"/>
        <item x="411"/>
        <item x="14"/>
        <item x="165"/>
        <item x="164"/>
        <item x="162"/>
        <item x="163"/>
        <item x="680"/>
        <item x="681"/>
        <item x="285"/>
        <item x="382"/>
        <item x="260"/>
        <item x="487"/>
        <item x="633"/>
        <item x="341"/>
        <item x="215"/>
        <item x="477"/>
        <item x="158"/>
        <item x="436"/>
        <item x="461"/>
        <item x="131"/>
        <item x="280"/>
        <item x="96"/>
        <item x="495"/>
        <item x="576"/>
        <item x="213"/>
        <item x="577"/>
        <item x="191"/>
        <item x="39"/>
        <item x="36"/>
        <item x="34"/>
        <item x="37"/>
        <item x="35"/>
        <item x="38"/>
        <item x="314"/>
        <item x="43"/>
        <item x="315"/>
        <item x="178"/>
        <item x="790"/>
        <item x="791"/>
        <item x="323"/>
        <item x="352"/>
        <item x="297"/>
        <item x="242"/>
        <item x="48"/>
        <item x="149"/>
        <item x="150"/>
        <item x="103"/>
        <item x="560"/>
        <item x="464"/>
        <item x="541"/>
        <item x="596"/>
        <item x="742"/>
        <item x="743"/>
        <item x="574"/>
        <item x="570"/>
        <item x="572"/>
        <item x="51"/>
        <item x="52"/>
        <item x="563"/>
        <item x="685"/>
        <item x="302"/>
        <item x="58"/>
        <item x="608"/>
        <item x="250"/>
        <item x="778"/>
        <item x="547"/>
        <item x="186"/>
        <item x="23"/>
        <item x="22"/>
        <item x="21"/>
        <item x="20"/>
        <item x="578"/>
        <item x="558"/>
        <item x="30"/>
        <item x="239"/>
        <item x="219"/>
        <item x="137"/>
        <item x="136"/>
        <item x="438"/>
        <item x="340"/>
        <item x="201"/>
        <item x="65"/>
        <item x="66"/>
        <item x="67"/>
        <item x="83"/>
        <item x="284"/>
        <item x="148"/>
        <item x="252"/>
        <item x="525"/>
        <item x="62"/>
        <item x="439"/>
        <item x="528"/>
        <item x="59"/>
        <item x="780"/>
        <item x="781"/>
        <item x="783"/>
        <item x="782"/>
        <item x="266"/>
        <item x="568"/>
        <item x="480"/>
        <item x="736"/>
        <item x="210"/>
        <item x="170"/>
        <item x="719"/>
        <item x="227"/>
        <item x="31"/>
        <item x="262"/>
        <item x="303"/>
        <item x="454"/>
        <item x="84"/>
        <item x="25"/>
        <item x="24"/>
        <item x="426"/>
        <item x="425"/>
        <item x="415"/>
        <item x="543"/>
        <item x="414"/>
        <item x="416"/>
        <item x="404"/>
        <item x="241"/>
        <item x="706"/>
        <item x="640"/>
        <item x="120"/>
        <item x="119"/>
        <item x="515"/>
        <item x="496"/>
        <item x="583"/>
        <item x="344"/>
        <item x="452"/>
        <item x="531"/>
        <item x="535"/>
        <item x="532"/>
        <item x="533"/>
        <item x="534"/>
        <item x="536"/>
        <item x="688"/>
        <item x="326"/>
        <item x="327"/>
        <item x="408"/>
        <item x="409"/>
        <item x="562"/>
        <item x="611"/>
        <item x="32"/>
        <item x="33"/>
        <item x="599"/>
        <item x="647"/>
        <item x="732"/>
        <item x="275"/>
        <item x="274"/>
        <item x="229"/>
        <item x="228"/>
        <item x="605"/>
        <item x="621"/>
        <item x="620"/>
        <item x="132"/>
        <item x="126"/>
        <item x="128"/>
        <item x="399"/>
        <item x="296"/>
        <item x="93"/>
        <item x="597"/>
        <item x="175"/>
        <item x="556"/>
        <item x="555"/>
        <item x="368"/>
        <item x="600"/>
        <item x="349"/>
        <item x="348"/>
        <item x="550"/>
        <item x="551"/>
        <item x="316"/>
        <item x="407"/>
        <item x="97"/>
        <item x="469"/>
        <item x="677"/>
        <item x="455"/>
        <item x="298"/>
        <item x="448"/>
        <item x="309"/>
        <item x="230"/>
        <item x="385"/>
        <item x="622"/>
        <item x="289"/>
        <item x="575"/>
        <item x="571"/>
        <item x="573"/>
        <item x="245"/>
        <item x="740"/>
        <item x="203"/>
        <item x="324"/>
        <item x="501"/>
        <item x="760"/>
        <item x="483"/>
        <item x="313"/>
        <item x="311"/>
        <item x="775"/>
        <item x="86"/>
        <item x="87"/>
        <item x="214"/>
        <item x="85"/>
        <item x="236"/>
        <item x="755"/>
        <item x="254"/>
        <item x="257"/>
        <item x="233"/>
        <item x="554"/>
        <item x="155"/>
        <item x="395"/>
        <item x="509"/>
        <item x="225"/>
        <item x="638"/>
        <item x="370"/>
        <item x="26"/>
        <item x="733"/>
        <item x="398"/>
        <item x="181"/>
        <item x="358"/>
        <item x="490"/>
        <item x="356"/>
        <item x="752"/>
        <item x="9"/>
        <item x="253"/>
        <item x="443"/>
        <item x="442"/>
        <item x="441"/>
        <item x="130"/>
        <item x="129"/>
        <item x="224"/>
        <item x="223"/>
        <item x="567"/>
        <item x="679"/>
        <item x="482"/>
        <item x="200"/>
        <item x="264"/>
        <item x="207"/>
        <item x="206"/>
        <item x="307"/>
        <item x="364"/>
        <item x="601"/>
        <item x="346"/>
        <item x="282"/>
        <item x="283"/>
        <item x="642"/>
        <item x="300"/>
        <item x="238"/>
        <item x="754"/>
        <item x="587"/>
        <item x="770"/>
        <item x="299"/>
        <item x="731"/>
        <item x="122"/>
        <item x="516"/>
        <item x="138"/>
        <item x="234"/>
        <item x="78"/>
        <item x="79"/>
        <item x="557"/>
        <item x="700"/>
        <item x="598"/>
        <item x="704"/>
        <item x="705"/>
        <item x="592"/>
        <item x="625"/>
        <item x="519"/>
        <item x="189"/>
        <item x="190"/>
        <item x="276"/>
        <item x="355"/>
        <item x="703"/>
        <item x="702"/>
        <item x="434"/>
        <item x="172"/>
        <item x="504"/>
        <item x="579"/>
        <item x="359"/>
        <item x="272"/>
        <item x="779"/>
        <item x="390"/>
        <item x="629"/>
        <item x="432"/>
        <item x="595"/>
        <item x="663"/>
        <item x="171"/>
        <item x="268"/>
        <item x="267"/>
        <item x="767"/>
        <item x="255"/>
        <item x="766"/>
        <item x="212"/>
        <item x="580"/>
        <item x="216"/>
        <item x="235"/>
        <item x="537"/>
        <item x="644"/>
        <item x="643"/>
        <item x="645"/>
        <item x="145"/>
        <item x="603"/>
        <item x="54"/>
        <item x="53"/>
        <item x="2"/>
        <item x="3"/>
        <item x="463"/>
        <item x="360"/>
        <item x="553"/>
        <item x="77"/>
        <item x="312"/>
        <item x="50"/>
        <item x="701"/>
        <item x="734"/>
        <item x="342"/>
        <item x="799"/>
        <item x="698"/>
        <item x="108"/>
        <item x="690"/>
        <item x="42"/>
        <item x="350"/>
        <item x="351"/>
        <item x="400"/>
        <item x="10"/>
        <item x="564"/>
        <item x="512"/>
        <item x="16"/>
        <item x="76"/>
        <item x="118"/>
        <item x="607"/>
        <item x="604"/>
        <item x="372"/>
        <item x="317"/>
        <item x="45"/>
        <item x="301"/>
        <item x="217"/>
        <item x="586"/>
        <item x="209"/>
        <item x="459"/>
        <item x="460"/>
        <item x="458"/>
        <item x="288"/>
        <item x="394"/>
        <item x="192"/>
        <item x="792"/>
        <item x="623"/>
        <item x="208"/>
        <item x="520"/>
        <item x="793"/>
        <item x="367"/>
        <item x="157"/>
        <item x="582"/>
        <item x="707"/>
        <item x="286"/>
        <item x="632"/>
        <item x="631"/>
        <item x="46"/>
        <item x="695"/>
        <item x="794"/>
        <item t="default"/>
      </items>
    </pivotField>
    <pivotField axis="axisPage" multipleItemSelectionAllowed="1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Page" multipleItemSelectionAllowed="1" showAll="0">
      <items count="20">
        <item x="17"/>
        <item x="12"/>
        <item x="3"/>
        <item x="14"/>
        <item x="5"/>
        <item x="7"/>
        <item x="15"/>
        <item x="2"/>
        <item x="16"/>
        <item x="6"/>
        <item x="4"/>
        <item x="10"/>
        <item x="1"/>
        <item x="18"/>
        <item x="0"/>
        <item x="8"/>
        <item x="11"/>
        <item x="9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1"/>
  </rowFields>
  <rowItems count="751">
    <i>
      <x/>
    </i>
    <i>
      <x v="2"/>
    </i>
    <i>
      <x v="3"/>
    </i>
    <i>
      <x v="5"/>
    </i>
    <i>
      <x v="6"/>
    </i>
    <i>
      <x v="7"/>
    </i>
    <i>
      <x v="8"/>
    </i>
    <i>
      <x v="10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0"/>
    </i>
    <i>
      <x v="241"/>
    </i>
    <i>
      <x v="243"/>
    </i>
    <i>
      <x v="245"/>
    </i>
    <i>
      <x v="246"/>
    </i>
    <i>
      <x v="247"/>
    </i>
    <i>
      <x v="248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5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3"/>
    </i>
    <i>
      <x v="394"/>
    </i>
    <i>
      <x v="395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3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5"/>
    </i>
    <i>
      <x v="446"/>
    </i>
    <i>
      <x v="447"/>
    </i>
    <i>
      <x v="448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4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5">
    <pageField fld="2" hier="-1"/>
    <pageField fld="3" hier="-1"/>
    <pageField fld="11" hier="-1"/>
    <pageField fld="12" hier="-1"/>
    <pageField fld="13" item="0" hier="-1"/>
  </pageFields>
  <dataFields count="7">
    <dataField name="Sum of Total" fld="4" baseField="0" baseItem="0"/>
    <dataField name="Sum of HP" fld="5" baseField="0" baseItem="0"/>
    <dataField name="Sum of Attack" fld="6" baseField="0" baseItem="0"/>
    <dataField name="Sum of Defense" fld="7" baseField="0" baseItem="0"/>
    <dataField name="Sum of Sp. Atk" fld="8" baseField="0" baseItem="0"/>
    <dataField name="Sum of Sp. Def" fld="9" baseField="0" baseItem="0"/>
    <dataField name="Sum of Speed" fld="10" baseField="0" baseItem="0"/>
  </dataFields>
  <formats count="1">
    <format dxfId="5">
      <pivotArea field="1" type="button" dataOnly="0" labelOnly="1" outline="0" axis="axisRow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D4480-36E8-4915-8AD4-BB0C7F0A3655}" name="PivotTable5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">
  <location ref="B6:J57" firstHeaderRow="0" firstDataRow="1" firstDataCol="1" rowPageCount="3" colPageCount="1"/>
  <pivotFields count="14">
    <pivotField dataField="1" showAll="0"/>
    <pivotField axis="axisRow" showAll="0">
      <items count="801">
        <item x="511"/>
        <item x="510"/>
        <item x="68"/>
        <item x="393"/>
        <item x="392"/>
        <item x="678"/>
        <item x="751"/>
        <item x="750"/>
        <item x="154"/>
        <item x="153"/>
        <item x="333"/>
        <item x="332"/>
        <item x="205"/>
        <item x="70"/>
        <item x="71"/>
        <item x="655"/>
        <item x="366"/>
        <item x="365"/>
        <item x="768"/>
        <item x="471"/>
        <item x="652"/>
        <item x="196"/>
        <item x="195"/>
        <item x="379"/>
        <item x="29"/>
        <item x="64"/>
        <item x="552"/>
        <item x="627"/>
        <item x="628"/>
        <item x="182"/>
        <item x="380"/>
        <item x="753"/>
        <item x="330"/>
        <item x="156"/>
        <item x="590"/>
        <item x="591"/>
        <item x="769"/>
        <item x="789"/>
        <item x="671"/>
        <item x="539"/>
        <item x="199"/>
        <item x="322"/>
        <item x="406"/>
        <item x="375"/>
        <item x="386"/>
        <item x="387"/>
        <item x="759"/>
        <item x="371"/>
        <item x="610"/>
        <item x="456"/>
        <item x="167"/>
        <item x="675"/>
        <item x="290"/>
        <item x="18"/>
        <item x="19"/>
        <item x="667"/>
        <item x="410"/>
        <item x="197"/>
        <item x="75"/>
        <item x="788"/>
        <item x="445"/>
        <item x="444"/>
        <item x="758"/>
        <item x="686"/>
        <item x="11"/>
        <item x="12"/>
        <item x="278"/>
        <item x="279"/>
        <item x="261"/>
        <item x="581"/>
        <item x="584"/>
        <item x="486"/>
        <item x="687"/>
        <item x="722"/>
        <item x="689"/>
        <item x="310"/>
        <item x="485"/>
        <item x="484"/>
        <item x="451"/>
        <item x="465"/>
        <item x="0"/>
        <item x="474"/>
        <item x="727"/>
        <item x="457"/>
        <item x="15"/>
        <item x="362"/>
        <item x="363"/>
        <item x="354"/>
        <item x="353"/>
        <item x="773"/>
        <item x="505"/>
        <item x="626"/>
        <item x="347"/>
        <item x="291"/>
        <item x="383"/>
        <item x="13"/>
        <item x="271"/>
        <item x="670"/>
        <item x="121"/>
        <item x="6"/>
        <item x="7"/>
        <item x="8"/>
        <item x="4"/>
        <item x="5"/>
        <item x="489"/>
        <item x="468"/>
        <item x="467"/>
        <item x="720"/>
        <item x="718"/>
        <item x="166"/>
        <item x="435"/>
        <item x="391"/>
        <item x="184"/>
        <item x="481"/>
        <item x="634"/>
        <item x="401"/>
        <item x="762"/>
        <item x="763"/>
        <item x="376"/>
        <item x="41"/>
        <item x="40"/>
        <item x="187"/>
        <item x="98"/>
        <item x="699"/>
        <item x="624"/>
        <item x="462"/>
        <item x="277"/>
        <item x="594"/>
        <item x="373"/>
        <item x="240"/>
        <item x="606"/>
        <item x="378"/>
        <item x="453"/>
        <item x="374"/>
        <item x="546"/>
        <item x="503"/>
        <item x="183"/>
        <item x="173"/>
        <item x="619"/>
        <item x="676"/>
        <item x="674"/>
        <item x="112"/>
        <item x="169"/>
        <item x="549"/>
        <item x="615"/>
        <item x="616"/>
        <item x="614"/>
        <item x="772"/>
        <item x="646"/>
        <item x="694"/>
        <item x="325"/>
        <item x="243"/>
        <item x="723"/>
        <item x="428"/>
        <item x="430"/>
        <item x="431"/>
        <item x="429"/>
        <item x="94"/>
        <item x="561"/>
        <item x="540"/>
        <item x="796"/>
        <item x="795"/>
        <item x="728"/>
        <item x="55"/>
        <item x="143"/>
        <item x="92"/>
        <item x="91"/>
        <item x="251"/>
        <item x="749"/>
        <item x="761"/>
        <item x="160"/>
        <item x="161"/>
        <item x="502"/>
        <item x="159"/>
        <item x="473"/>
        <item x="472"/>
        <item x="588"/>
        <item x="104"/>
        <item x="682"/>
        <item x="641"/>
        <item x="56"/>
        <item x="221"/>
        <item x="639"/>
        <item x="693"/>
        <item x="389"/>
        <item x="529"/>
        <item x="388"/>
        <item x="292"/>
        <item x="618"/>
        <item x="664"/>
        <item x="665"/>
        <item x="144"/>
        <item x="28"/>
        <item x="134"/>
        <item x="517"/>
        <item x="337"/>
        <item x="109"/>
        <item x="258"/>
        <item x="666"/>
        <item x="559"/>
        <item x="648"/>
        <item x="440"/>
        <item x="263"/>
        <item x="650"/>
        <item x="211"/>
        <item x="745"/>
        <item x="589"/>
        <item x="110"/>
        <item x="111"/>
        <item x="319"/>
        <item x="90"/>
        <item x="27"/>
        <item x="381"/>
        <item x="721"/>
        <item x="174"/>
        <item x="658"/>
        <item x="659"/>
        <item x="506"/>
        <item x="194"/>
        <item x="737"/>
        <item x="147"/>
        <item x="730"/>
        <item x="729"/>
        <item x="466"/>
        <item x="738"/>
        <item x="739"/>
        <item x="361"/>
        <item x="651"/>
        <item x="220"/>
        <item x="672"/>
        <item x="653"/>
        <item x="724"/>
        <item x="725"/>
        <item x="530"/>
        <item x="744"/>
        <item x="176"/>
        <item x="492"/>
        <item x="526"/>
        <item x="527"/>
        <item x="657"/>
        <item x="630"/>
        <item x="493"/>
        <item x="494"/>
        <item x="305"/>
        <item x="306"/>
        <item x="99"/>
        <item x="470"/>
        <item x="717"/>
        <item x="102"/>
        <item x="101"/>
        <item x="80"/>
        <item x="491"/>
        <item x="585"/>
        <item x="218"/>
        <item x="544"/>
        <item x="545"/>
        <item x="522"/>
        <item x="397"/>
        <item x="396"/>
        <item x="479"/>
        <item x="222"/>
        <item x="523"/>
        <item x="49"/>
        <item x="741"/>
        <item x="47"/>
        <item x="127"/>
        <item x="60"/>
        <item x="82"/>
        <item x="683"/>
        <item x="684"/>
        <item x="776"/>
        <item x="774"/>
        <item x="403"/>
        <item x="635"/>
        <item x="637"/>
        <item x="636"/>
        <item x="786"/>
        <item x="787"/>
        <item x="784"/>
        <item x="785"/>
        <item x="226"/>
        <item x="81"/>
        <item x="726"/>
        <item x="95"/>
        <item x="433"/>
        <item x="424"/>
        <item x="423"/>
        <item x="273"/>
        <item x="63"/>
        <item x="357"/>
        <item x="345"/>
        <item x="593"/>
        <item x="141"/>
        <item x="140"/>
        <item x="488"/>
        <item x="321"/>
        <item x="100"/>
        <item x="771"/>
        <item x="673"/>
        <item x="692"/>
        <item x="542"/>
        <item x="765"/>
        <item x="764"/>
        <item x="231"/>
        <item x="232"/>
        <item x="566"/>
        <item x="499"/>
        <item x="500"/>
        <item x="115"/>
        <item x="114"/>
        <item x="256"/>
        <item x="478"/>
        <item x="748"/>
        <item x="270"/>
        <item x="797"/>
        <item x="798"/>
        <item x="177"/>
        <item x="202"/>
        <item x="125"/>
        <item x="247"/>
        <item x="248"/>
        <item x="246"/>
        <item x="402"/>
        <item x="696"/>
        <item x="105"/>
        <item x="188"/>
        <item x="343"/>
        <item x="437"/>
        <item x="756"/>
        <item x="1"/>
        <item x="654"/>
        <item x="44"/>
        <item x="427"/>
        <item x="146"/>
        <item x="656"/>
        <item x="204"/>
        <item x="133"/>
        <item x="151"/>
        <item x="152"/>
        <item x="69"/>
        <item x="17"/>
        <item x="123"/>
        <item x="124"/>
        <item x="649"/>
        <item x="384"/>
        <item x="714"/>
        <item x="713"/>
        <item x="249"/>
        <item x="107"/>
        <item x="304"/>
        <item x="661"/>
        <item x="777"/>
        <item x="660"/>
        <item x="662"/>
        <item x="117"/>
        <item x="106"/>
        <item x="446"/>
        <item x="447"/>
        <item x="612"/>
        <item x="613"/>
        <item x="422"/>
        <item x="421"/>
        <item x="711"/>
        <item x="712"/>
        <item x="710"/>
        <item x="331"/>
        <item x="669"/>
        <item x="709"/>
        <item x="708"/>
        <item x="185"/>
        <item x="142"/>
        <item x="697"/>
        <item x="265"/>
        <item x="417"/>
        <item x="418"/>
        <item x="420"/>
        <item x="419"/>
        <item x="521"/>
        <item x="602"/>
        <item x="180"/>
        <item x="179"/>
        <item x="514"/>
        <item x="116"/>
        <item x="569"/>
        <item x="377"/>
        <item x="609"/>
        <item x="565"/>
        <item x="287"/>
        <item x="735"/>
        <item x="668"/>
        <item x="294"/>
        <item x="475"/>
        <item x="476"/>
        <item x="293"/>
        <item x="318"/>
        <item x="498"/>
        <item x="497"/>
        <item x="295"/>
        <item x="269"/>
        <item x="507"/>
        <item x="369"/>
        <item x="405"/>
        <item x="449"/>
        <item x="450"/>
        <item x="74"/>
        <item x="73"/>
        <item x="72"/>
        <item x="259"/>
        <item x="237"/>
        <item x="139"/>
        <item x="135"/>
        <item x="518"/>
        <item x="88"/>
        <item x="89"/>
        <item x="513"/>
        <item x="320"/>
        <item x="757"/>
        <item x="524"/>
        <item x="548"/>
        <item x="691"/>
        <item x="339"/>
        <item x="338"/>
        <item x="61"/>
        <item x="244"/>
        <item x="508"/>
        <item x="617"/>
        <item x="193"/>
        <item x="198"/>
        <item x="113"/>
        <item x="281"/>
        <item x="308"/>
        <item x="329"/>
        <item x="328"/>
        <item x="335"/>
        <item x="336"/>
        <item x="334"/>
        <item x="168"/>
        <item x="716"/>
        <item x="715"/>
        <item x="747"/>
        <item x="746"/>
        <item x="57"/>
        <item x="538"/>
        <item x="413"/>
        <item x="412"/>
        <item x="411"/>
        <item x="14"/>
        <item x="165"/>
        <item x="164"/>
        <item x="162"/>
        <item x="163"/>
        <item x="680"/>
        <item x="681"/>
        <item x="285"/>
        <item x="382"/>
        <item x="260"/>
        <item x="487"/>
        <item x="633"/>
        <item x="341"/>
        <item x="215"/>
        <item x="477"/>
        <item x="158"/>
        <item x="436"/>
        <item x="461"/>
        <item x="131"/>
        <item x="280"/>
        <item x="96"/>
        <item x="495"/>
        <item x="576"/>
        <item x="213"/>
        <item x="577"/>
        <item x="191"/>
        <item x="39"/>
        <item x="36"/>
        <item x="34"/>
        <item x="37"/>
        <item x="35"/>
        <item x="38"/>
        <item x="314"/>
        <item x="43"/>
        <item x="315"/>
        <item x="178"/>
        <item x="790"/>
        <item x="791"/>
        <item x="323"/>
        <item x="352"/>
        <item x="297"/>
        <item x="242"/>
        <item x="48"/>
        <item x="149"/>
        <item x="150"/>
        <item x="103"/>
        <item x="560"/>
        <item x="464"/>
        <item x="541"/>
        <item x="596"/>
        <item x="742"/>
        <item x="743"/>
        <item x="574"/>
        <item x="570"/>
        <item x="572"/>
        <item x="51"/>
        <item x="52"/>
        <item x="563"/>
        <item x="685"/>
        <item x="302"/>
        <item x="58"/>
        <item x="608"/>
        <item x="250"/>
        <item x="778"/>
        <item x="547"/>
        <item x="186"/>
        <item x="23"/>
        <item x="22"/>
        <item x="21"/>
        <item x="20"/>
        <item x="578"/>
        <item x="558"/>
        <item x="30"/>
        <item x="239"/>
        <item x="219"/>
        <item x="137"/>
        <item x="136"/>
        <item x="438"/>
        <item x="340"/>
        <item x="201"/>
        <item x="65"/>
        <item x="66"/>
        <item x="67"/>
        <item x="83"/>
        <item x="284"/>
        <item x="148"/>
        <item x="252"/>
        <item x="525"/>
        <item x="62"/>
        <item x="439"/>
        <item x="528"/>
        <item x="59"/>
        <item x="780"/>
        <item x="781"/>
        <item x="783"/>
        <item x="782"/>
        <item x="266"/>
        <item x="568"/>
        <item x="480"/>
        <item x="736"/>
        <item x="210"/>
        <item x="170"/>
        <item x="719"/>
        <item x="227"/>
        <item x="31"/>
        <item x="262"/>
        <item x="303"/>
        <item x="454"/>
        <item x="84"/>
        <item x="25"/>
        <item x="24"/>
        <item x="426"/>
        <item x="425"/>
        <item x="415"/>
        <item x="543"/>
        <item x="414"/>
        <item x="416"/>
        <item x="404"/>
        <item x="241"/>
        <item x="706"/>
        <item x="640"/>
        <item x="120"/>
        <item x="119"/>
        <item x="515"/>
        <item x="496"/>
        <item x="583"/>
        <item x="344"/>
        <item x="452"/>
        <item x="531"/>
        <item x="535"/>
        <item x="532"/>
        <item x="533"/>
        <item x="534"/>
        <item x="536"/>
        <item x="688"/>
        <item x="326"/>
        <item x="327"/>
        <item x="408"/>
        <item x="409"/>
        <item x="562"/>
        <item x="611"/>
        <item x="32"/>
        <item x="33"/>
        <item x="599"/>
        <item x="647"/>
        <item x="732"/>
        <item x="275"/>
        <item x="274"/>
        <item x="229"/>
        <item x="228"/>
        <item x="605"/>
        <item x="621"/>
        <item x="620"/>
        <item x="132"/>
        <item x="126"/>
        <item x="128"/>
        <item x="399"/>
        <item x="296"/>
        <item x="93"/>
        <item x="597"/>
        <item x="175"/>
        <item x="556"/>
        <item x="555"/>
        <item x="368"/>
        <item x="600"/>
        <item x="349"/>
        <item x="348"/>
        <item x="550"/>
        <item x="551"/>
        <item x="316"/>
        <item x="407"/>
        <item x="97"/>
        <item x="469"/>
        <item x="677"/>
        <item x="455"/>
        <item x="298"/>
        <item x="448"/>
        <item x="309"/>
        <item x="230"/>
        <item x="385"/>
        <item x="622"/>
        <item x="289"/>
        <item x="575"/>
        <item x="571"/>
        <item x="573"/>
        <item x="245"/>
        <item x="740"/>
        <item x="203"/>
        <item x="324"/>
        <item x="501"/>
        <item x="760"/>
        <item x="483"/>
        <item x="313"/>
        <item x="311"/>
        <item x="775"/>
        <item x="86"/>
        <item x="87"/>
        <item x="214"/>
        <item x="85"/>
        <item x="236"/>
        <item x="755"/>
        <item x="254"/>
        <item x="257"/>
        <item x="233"/>
        <item x="554"/>
        <item x="155"/>
        <item x="395"/>
        <item x="509"/>
        <item x="225"/>
        <item x="638"/>
        <item x="370"/>
        <item x="26"/>
        <item x="733"/>
        <item x="398"/>
        <item x="181"/>
        <item x="358"/>
        <item x="490"/>
        <item x="356"/>
        <item x="752"/>
        <item x="9"/>
        <item x="253"/>
        <item x="443"/>
        <item x="442"/>
        <item x="441"/>
        <item x="130"/>
        <item x="129"/>
        <item x="224"/>
        <item x="223"/>
        <item x="567"/>
        <item x="679"/>
        <item x="482"/>
        <item x="200"/>
        <item x="264"/>
        <item x="207"/>
        <item x="206"/>
        <item x="307"/>
        <item x="364"/>
        <item x="601"/>
        <item x="346"/>
        <item x="282"/>
        <item x="283"/>
        <item x="642"/>
        <item x="300"/>
        <item x="238"/>
        <item x="754"/>
        <item x="587"/>
        <item x="770"/>
        <item x="299"/>
        <item x="731"/>
        <item x="122"/>
        <item x="516"/>
        <item x="138"/>
        <item x="234"/>
        <item x="78"/>
        <item x="79"/>
        <item x="557"/>
        <item x="700"/>
        <item x="598"/>
        <item x="704"/>
        <item x="705"/>
        <item x="592"/>
        <item x="625"/>
        <item x="519"/>
        <item x="189"/>
        <item x="190"/>
        <item x="276"/>
        <item x="355"/>
        <item x="703"/>
        <item x="702"/>
        <item x="434"/>
        <item x="172"/>
        <item x="504"/>
        <item x="579"/>
        <item x="359"/>
        <item x="272"/>
        <item x="779"/>
        <item x="390"/>
        <item x="629"/>
        <item x="432"/>
        <item x="595"/>
        <item x="663"/>
        <item x="171"/>
        <item x="268"/>
        <item x="267"/>
        <item x="767"/>
        <item x="255"/>
        <item x="766"/>
        <item x="212"/>
        <item x="580"/>
        <item x="216"/>
        <item x="235"/>
        <item x="537"/>
        <item x="644"/>
        <item x="643"/>
        <item x="645"/>
        <item x="145"/>
        <item x="603"/>
        <item x="54"/>
        <item x="53"/>
        <item x="2"/>
        <item x="3"/>
        <item x="463"/>
        <item x="360"/>
        <item x="553"/>
        <item x="77"/>
        <item x="312"/>
        <item x="50"/>
        <item x="701"/>
        <item x="734"/>
        <item x="342"/>
        <item x="799"/>
        <item x="698"/>
        <item x="108"/>
        <item x="690"/>
        <item x="42"/>
        <item x="350"/>
        <item x="351"/>
        <item x="400"/>
        <item x="10"/>
        <item x="564"/>
        <item x="512"/>
        <item x="16"/>
        <item x="76"/>
        <item x="118"/>
        <item x="607"/>
        <item x="604"/>
        <item x="372"/>
        <item x="317"/>
        <item x="45"/>
        <item x="301"/>
        <item x="217"/>
        <item x="586"/>
        <item x="209"/>
        <item x="459"/>
        <item x="460"/>
        <item x="458"/>
        <item x="288"/>
        <item x="394"/>
        <item x="192"/>
        <item x="792"/>
        <item x="623"/>
        <item x="208"/>
        <item x="520"/>
        <item x="793"/>
        <item x="367"/>
        <item x="157"/>
        <item x="582"/>
        <item x="707"/>
        <item x="286"/>
        <item x="632"/>
        <item x="631"/>
        <item x="46"/>
        <item x="695"/>
        <item x="794"/>
        <item t="default"/>
      </items>
    </pivotField>
    <pivotField axis="axisPage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Page" showAll="0">
      <items count="20">
        <item x="17"/>
        <item x="12"/>
        <item x="3"/>
        <item x="14"/>
        <item x="5"/>
        <item x="7"/>
        <item x="15"/>
        <item x="2"/>
        <item x="16"/>
        <item x="6"/>
        <item x="4"/>
        <item x="10"/>
        <item x="1"/>
        <item x="18"/>
        <item x="0"/>
        <item x="8"/>
        <item x="11"/>
        <item x="9"/>
        <item x="1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1">
    <i>
      <x v="1"/>
    </i>
    <i>
      <x v="4"/>
    </i>
    <i>
      <x v="9"/>
    </i>
    <i>
      <x v="11"/>
    </i>
    <i>
      <x v="14"/>
    </i>
    <i>
      <x v="17"/>
    </i>
    <i>
      <x v="22"/>
    </i>
    <i>
      <x v="35"/>
    </i>
    <i>
      <x v="45"/>
    </i>
    <i>
      <x v="54"/>
    </i>
    <i>
      <x v="65"/>
    </i>
    <i>
      <x v="67"/>
    </i>
    <i>
      <x v="88"/>
    </i>
    <i>
      <x v="100"/>
    </i>
    <i>
      <x v="101"/>
    </i>
    <i>
      <x v="161"/>
    </i>
    <i>
      <x v="238"/>
    </i>
    <i>
      <x v="242"/>
    </i>
    <i>
      <x v="244"/>
    </i>
    <i>
      <x v="249"/>
    </i>
    <i>
      <x v="258"/>
    </i>
    <i>
      <x v="293"/>
    </i>
    <i>
      <x v="304"/>
    </i>
    <i>
      <x v="320"/>
    </i>
    <i>
      <x v="342"/>
    </i>
    <i>
      <x v="374"/>
    </i>
    <i>
      <x v="376"/>
    </i>
    <i>
      <x v="392"/>
    </i>
    <i>
      <x v="396"/>
    </i>
    <i>
      <x v="421"/>
    </i>
    <i>
      <x v="432"/>
    </i>
    <i>
      <x v="434"/>
    </i>
    <i>
      <x v="436"/>
    </i>
    <i>
      <x v="444"/>
    </i>
    <i>
      <x v="449"/>
    </i>
    <i>
      <x v="450"/>
    </i>
    <i>
      <x v="513"/>
    </i>
    <i>
      <x v="522"/>
    </i>
    <i>
      <x v="558"/>
    </i>
    <i>
      <x v="582"/>
    </i>
    <i>
      <x v="584"/>
    </i>
    <i>
      <x v="593"/>
    </i>
    <i>
      <x v="595"/>
    </i>
    <i>
      <x v="612"/>
    </i>
    <i>
      <x v="642"/>
    </i>
    <i>
      <x v="673"/>
    </i>
    <i>
      <x v="686"/>
    </i>
    <i>
      <x v="729"/>
    </i>
    <i>
      <x v="746"/>
    </i>
    <i>
      <x v="78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3">
    <pageField fld="13" item="1" hier="-1"/>
    <pageField fld="3" hier="-1"/>
    <pageField fld="2" hier="-1"/>
  </pageFields>
  <dataFields count="8">
    <dataField name="Sum of #" fld="0" baseField="1" baseItem="45"/>
    <dataField name="Sum of HP" fld="5" baseField="0" baseItem="0"/>
    <dataField name="Sum of Attack" fld="6" baseField="0" baseItem="0"/>
    <dataField name="Sum of Defense" fld="7" baseField="0" baseItem="0"/>
    <dataField name="Sum of Sp. Atk" fld="8" baseField="0" baseItem="0"/>
    <dataField name="Sum of Sp. Def" fld="9" baseField="0" baseItem="0"/>
    <dataField name="Sum of Speed" fld="10" baseField="0" baseItem="0"/>
    <dataField name="Sum of Generat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79588-0490-4C95-AD28-29BEC2B51F12}" name="PivotTable7" cacheId="81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8" colHeaderCaption="Name">
  <location ref="B23:E30" firstHeaderRow="1" firstDataRow="2" firstDataCol="1" rowPageCount="1" colPageCount="1"/>
  <pivotFields count="9">
    <pivotField axis="axisCol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5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umber (#)" axis="axisPage" showAll="0" defaultSubtotal="0">
      <items count="51">
        <item x="46"/>
        <item x="13"/>
        <item x="10"/>
        <item x="9"/>
        <item x="34"/>
        <item x="4"/>
        <item x="42"/>
        <item x="18"/>
        <item x="23"/>
        <item x="35"/>
        <item x="20"/>
        <item x="2"/>
        <item x="33"/>
        <item x="31"/>
        <item x="6"/>
        <item x="43"/>
        <item x="40"/>
        <item x="21"/>
        <item x="22"/>
        <item x="45"/>
        <item x="39"/>
        <item x="11"/>
        <item x="44"/>
        <item x="17"/>
        <item x="37"/>
        <item x="29"/>
        <item x="3"/>
        <item x="30"/>
        <item x="28"/>
        <item x="41"/>
        <item x="12"/>
        <item x="5"/>
        <item x="8"/>
        <item x="1"/>
        <item x="19"/>
        <item x="38"/>
        <item x="32"/>
        <item x="24"/>
        <item x="25"/>
        <item x="36"/>
        <item x="26"/>
        <item x="16"/>
        <item x="27"/>
        <item x="0"/>
        <item x="47"/>
        <item x="15"/>
        <item x="7"/>
        <item x="14"/>
        <item x="48"/>
        <item m="1" x="49"/>
        <item m="1" x="50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ame="Generation" showAll="0" defaultSubtota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3">
    <i>
      <x v="13"/>
    </i>
    <i>
      <x v="14"/>
    </i>
    <i t="grand">
      <x/>
    </i>
  </colItems>
  <pageFields count="1">
    <pageField fld="1" item="1" hier="-1"/>
  </pageFields>
  <dataFields count="6">
    <dataField name="HP" fld="2" baseField="0" baseItem="49"/>
    <dataField name="Sp. Def" fld="6" baseField="0" baseItem="49"/>
    <dataField name="Speed" fld="7" baseField="0" baseItem="49"/>
    <dataField name="Defense" fld="4" baseField="0" baseItem="49"/>
    <dataField name="Attack" fld="3" baseField="0" baseItem="49"/>
    <dataField name="Sp. Atk" fld="5" baseField="0" baseItem="49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422DD-8DA9-4602-8257-0FD917BEA247}" name="PivotTable3" cacheId="91" dataOnRows="1" applyNumberFormats="0" applyBorderFormats="0" applyFontFormats="0" applyPatternFormats="0" applyAlignmentFormats="0" applyWidthHeightFormats="1" dataCaption="Stat Values" updatedVersion="8" minRefreshableVersion="3" useAutoFormatting="1" itemPrintTitles="1" createdVersion="8" indent="0" outline="1" outlineData="1" multipleFieldFilters="0" chartFormat="15">
  <location ref="B4:C10" firstHeaderRow="1" firstDataRow="1" firstDataCol="1" rowPageCount="1" colPageCount="1"/>
  <pivotFields count="14">
    <pivotField name="Number (#)" axis="axisPage" showAll="0">
      <items count="7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pageFields count="1">
    <pageField fld="0" item="81" hier="-1"/>
  </pageFields>
  <dataFields count="6">
    <dataField name="Sum of HP" fld="5" baseField="0" baseItem="0"/>
    <dataField name="Sum of Attack" fld="6" baseField="0" baseItem="0"/>
    <dataField name="Sum of Defense" fld="7" baseField="0" baseItem="0"/>
    <dataField name="Sum of Sp. Atk" fld="8" baseField="0" baseItem="0"/>
    <dataField name="Sum of Speed" fld="10" baseField="0" baseItem="0"/>
    <dataField name="Sum of Sp. Def" fld="9" baseField="0" baseItem="0"/>
  </dataFields>
  <chartFormats count="1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464A84-A86B-455D-8CB3-B215CDAB71CA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#" tableColumnId="1"/>
      <queryTableField id="2" name="Name" tableColumnId="2"/>
      <queryTableField id="3" name="Type 1" tableColumnId="3"/>
      <queryTableField id="4" name="Type 2" tableColumnId="4"/>
      <queryTableField id="5" name="Total" tableColumnId="5"/>
      <queryTableField id="6" name="HP" tableColumnId="6"/>
      <queryTableField id="7" name="Attack" tableColumnId="7"/>
      <queryTableField id="8" name="Defense" tableColumnId="8"/>
      <queryTableField id="9" name="Sp. Atk" tableColumnId="9"/>
      <queryTableField id="10" name="Sp. Def" tableColumnId="10"/>
      <queryTableField id="11" name="Speed" tableColumnId="11"/>
      <queryTableField id="12" name="Generation" tableColumnId="12"/>
      <queryTableField id="13" name="Legendary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8C297-C21D-4CB0-8E8C-49C109DE9009}" name="Pokemon" displayName="Pokemon" ref="A1:N801" tableType="queryTable" totalsRowShown="0">
  <autoFilter ref="A1:N801" xr:uid="{5438C297-C21D-4CB0-8E8C-49C109DE9009}"/>
  <tableColumns count="14">
    <tableColumn id="1" xr3:uid="{F5116949-10BC-4B6A-9ED1-F1E806AC9036}" uniqueName="1" name="#" queryTableFieldId="1"/>
    <tableColumn id="2" xr3:uid="{DDAF8AAB-9E4F-4B8B-9579-A6326AA73E50}" uniqueName="2" name="Name" queryTableFieldId="2" dataDxfId="9"/>
    <tableColumn id="3" xr3:uid="{DB89B4DA-0F11-4262-B60B-3B06D0635BE9}" uniqueName="3" name="Type 1" queryTableFieldId="3" dataDxfId="8"/>
    <tableColumn id="4" xr3:uid="{4C85E01B-9962-40EB-BDAB-69814F603902}" uniqueName="4" name="Type 2" queryTableFieldId="4" dataDxfId="7"/>
    <tableColumn id="5" xr3:uid="{BDCF8D67-C535-4570-B65D-48911A6FAC89}" uniqueName="5" name="Total" queryTableFieldId="5"/>
    <tableColumn id="6" xr3:uid="{83BD60DC-A1AF-4FDB-AF43-4A9B61843247}" uniqueName="6" name="HP" queryTableFieldId="6"/>
    <tableColumn id="7" xr3:uid="{469ED9FF-4A2B-42DE-846D-35E361A439E1}" uniqueName="7" name="Attack" queryTableFieldId="7"/>
    <tableColumn id="8" xr3:uid="{28FE1AC3-B99A-42C1-82DD-D82917B7791A}" uniqueName="8" name="Defense" queryTableFieldId="8"/>
    <tableColumn id="9" xr3:uid="{0BD35D27-378A-44B6-9CEE-7BECB3832E30}" uniqueName="9" name="Sp. Atk" queryTableFieldId="9"/>
    <tableColumn id="10" xr3:uid="{493E8C0F-47A0-4D0C-ADD8-5AB2CE01881A}" uniqueName="10" name="Sp. Def" queryTableFieldId="10"/>
    <tableColumn id="11" xr3:uid="{B17778CE-3241-43A8-B517-FDCC83495E30}" uniqueName="11" name="Speed" queryTableFieldId="11"/>
    <tableColumn id="12" xr3:uid="{FB86CB99-F554-4E9E-891C-FD7583F76C13}" uniqueName="12" name="Generation" queryTableFieldId="12"/>
    <tableColumn id="13" xr3:uid="{17B0A5C9-0498-4178-ABFD-60A8BA780884}" uniqueName="13" name="Legendary" queryTableFieldId="13"/>
    <tableColumn id="14" xr3:uid="{918BD33D-71F0-4CA8-BBB9-6A0312AC6264}" uniqueName="14" name="Mega" queryTableFieldId="14" dataDxfId="6">
      <calculatedColumnFormula>COUNTIF(B2,"*Mega*")&gt;0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12D7-D5C1-4E32-81CF-4F91507A8125}">
  <dimension ref="A1:N801"/>
  <sheetViews>
    <sheetView tabSelected="1" workbookViewId="0">
      <selection activeCell="A11" sqref="A11"/>
    </sheetView>
  </sheetViews>
  <sheetFormatPr defaultRowHeight="15" x14ac:dyDescent="0.25"/>
  <cols>
    <col min="1" max="1" width="4.28515625" bestFit="1" customWidth="1"/>
    <col min="2" max="2" width="28.7109375" bestFit="1" customWidth="1"/>
    <col min="3" max="4" width="9" bestFit="1" customWidth="1"/>
    <col min="5" max="5" width="7.7109375" bestFit="1" customWidth="1"/>
    <col min="6" max="6" width="5.85546875" bestFit="1" customWidth="1"/>
    <col min="7" max="7" width="8.85546875" bestFit="1" customWidth="1"/>
    <col min="8" max="8" width="11" bestFit="1" customWidth="1"/>
    <col min="9" max="9" width="9.42578125" bestFit="1" customWidth="1"/>
    <col min="10" max="10" width="9.85546875" bestFit="1" customWidth="1"/>
    <col min="11" max="11" width="9" bestFit="1" customWidth="1"/>
    <col min="12" max="12" width="13.42578125" bestFit="1" customWidth="1"/>
    <col min="13" max="13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832</v>
      </c>
    </row>
    <row r="2" spans="1:14" x14ac:dyDescent="0.25">
      <c r="A2">
        <v>1</v>
      </c>
      <c r="B2" s="1" t="s">
        <v>13</v>
      </c>
      <c r="C2" s="1" t="s">
        <v>14</v>
      </c>
      <c r="D2" s="1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  <c r="N2" t="b">
        <f t="shared" ref="N2:N65" si="0">COUNTIF(B2,"*Mega*")&gt;0</f>
        <v>0</v>
      </c>
    </row>
    <row r="3" spans="1:14" x14ac:dyDescent="0.25">
      <c r="A3">
        <v>2</v>
      </c>
      <c r="B3" s="1" t="s">
        <v>16</v>
      </c>
      <c r="C3" s="1" t="s">
        <v>14</v>
      </c>
      <c r="D3" s="1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  <c r="N3" t="b">
        <f t="shared" si="0"/>
        <v>0</v>
      </c>
    </row>
    <row r="4" spans="1:14" x14ac:dyDescent="0.25">
      <c r="A4">
        <v>3</v>
      </c>
      <c r="B4" s="1" t="s">
        <v>17</v>
      </c>
      <c r="C4" s="1" t="s">
        <v>14</v>
      </c>
      <c r="D4" s="1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  <c r="N4" t="b">
        <f t="shared" si="0"/>
        <v>0</v>
      </c>
    </row>
    <row r="5" spans="1:14" x14ac:dyDescent="0.25">
      <c r="A5">
        <v>3</v>
      </c>
      <c r="B5" s="1" t="s">
        <v>18</v>
      </c>
      <c r="C5" s="1" t="s">
        <v>14</v>
      </c>
      <c r="D5" s="1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  <c r="N5" t="b">
        <f t="shared" si="0"/>
        <v>1</v>
      </c>
    </row>
    <row r="6" spans="1:14" x14ac:dyDescent="0.25">
      <c r="A6">
        <v>4</v>
      </c>
      <c r="B6" s="1" t="s">
        <v>19</v>
      </c>
      <c r="C6" s="1" t="s">
        <v>20</v>
      </c>
      <c r="D6" s="1" t="s">
        <v>21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  <c r="N6" t="b">
        <f t="shared" si="0"/>
        <v>0</v>
      </c>
    </row>
    <row r="7" spans="1:14" x14ac:dyDescent="0.25">
      <c r="A7">
        <v>5</v>
      </c>
      <c r="B7" s="1" t="s">
        <v>22</v>
      </c>
      <c r="C7" s="1" t="s">
        <v>20</v>
      </c>
      <c r="D7" s="1" t="s">
        <v>21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  <c r="N7" t="b">
        <f t="shared" si="0"/>
        <v>0</v>
      </c>
    </row>
    <row r="8" spans="1:14" x14ac:dyDescent="0.25">
      <c r="A8">
        <v>6</v>
      </c>
      <c r="B8" s="1" t="s">
        <v>23</v>
      </c>
      <c r="C8" s="1" t="s">
        <v>20</v>
      </c>
      <c r="D8" s="1" t="s">
        <v>24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  <c r="N8" t="b">
        <f t="shared" si="0"/>
        <v>0</v>
      </c>
    </row>
    <row r="9" spans="1:14" x14ac:dyDescent="0.25">
      <c r="A9">
        <v>6</v>
      </c>
      <c r="B9" s="1" t="s">
        <v>25</v>
      </c>
      <c r="C9" s="1" t="s">
        <v>20</v>
      </c>
      <c r="D9" s="1" t="s">
        <v>26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  <c r="N9" t="b">
        <f t="shared" si="0"/>
        <v>1</v>
      </c>
    </row>
    <row r="10" spans="1:14" x14ac:dyDescent="0.25">
      <c r="A10">
        <v>6</v>
      </c>
      <c r="B10" s="1" t="s">
        <v>27</v>
      </c>
      <c r="C10" s="1" t="s">
        <v>20</v>
      </c>
      <c r="D10" s="1" t="s">
        <v>24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  <c r="N10" t="b">
        <f t="shared" si="0"/>
        <v>1</v>
      </c>
    </row>
    <row r="11" spans="1:14" x14ac:dyDescent="0.25">
      <c r="A11">
        <v>7</v>
      </c>
      <c r="B11" s="1" t="s">
        <v>28</v>
      </c>
      <c r="C11" s="1" t="s">
        <v>29</v>
      </c>
      <c r="D11" s="1" t="s">
        <v>21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  <c r="N11" t="b">
        <f t="shared" si="0"/>
        <v>0</v>
      </c>
    </row>
    <row r="12" spans="1:14" x14ac:dyDescent="0.25">
      <c r="A12">
        <v>8</v>
      </c>
      <c r="B12" s="1" t="s">
        <v>30</v>
      </c>
      <c r="C12" s="1" t="s">
        <v>29</v>
      </c>
      <c r="D12" s="1" t="s">
        <v>21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  <c r="N12" t="b">
        <f t="shared" si="0"/>
        <v>0</v>
      </c>
    </row>
    <row r="13" spans="1:14" x14ac:dyDescent="0.25">
      <c r="A13">
        <v>9</v>
      </c>
      <c r="B13" s="1" t="s">
        <v>31</v>
      </c>
      <c r="C13" s="1" t="s">
        <v>29</v>
      </c>
      <c r="D13" s="1" t="s">
        <v>21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  <c r="N13" t="b">
        <f t="shared" si="0"/>
        <v>0</v>
      </c>
    </row>
    <row r="14" spans="1:14" x14ac:dyDescent="0.25">
      <c r="A14">
        <v>9</v>
      </c>
      <c r="B14" s="1" t="s">
        <v>32</v>
      </c>
      <c r="C14" s="1" t="s">
        <v>29</v>
      </c>
      <c r="D14" s="1" t="s">
        <v>21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  <c r="N14" t="b">
        <f t="shared" si="0"/>
        <v>1</v>
      </c>
    </row>
    <row r="15" spans="1:14" x14ac:dyDescent="0.25">
      <c r="A15">
        <v>10</v>
      </c>
      <c r="B15" s="1" t="s">
        <v>33</v>
      </c>
      <c r="C15" s="1" t="s">
        <v>34</v>
      </c>
      <c r="D15" s="1" t="s">
        <v>21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  <c r="N15" t="b">
        <f t="shared" si="0"/>
        <v>0</v>
      </c>
    </row>
    <row r="16" spans="1:14" x14ac:dyDescent="0.25">
      <c r="A16">
        <v>11</v>
      </c>
      <c r="B16" s="1" t="s">
        <v>35</v>
      </c>
      <c r="C16" s="1" t="s">
        <v>34</v>
      </c>
      <c r="D16" s="1" t="s">
        <v>21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  <c r="N16" t="b">
        <f t="shared" si="0"/>
        <v>0</v>
      </c>
    </row>
    <row r="17" spans="1:14" x14ac:dyDescent="0.25">
      <c r="A17">
        <v>12</v>
      </c>
      <c r="B17" s="1" t="s">
        <v>36</v>
      </c>
      <c r="C17" s="1" t="s">
        <v>34</v>
      </c>
      <c r="D17" s="1" t="s">
        <v>24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  <c r="N17" t="b">
        <f t="shared" si="0"/>
        <v>0</v>
      </c>
    </row>
    <row r="18" spans="1:14" x14ac:dyDescent="0.25">
      <c r="A18">
        <v>13</v>
      </c>
      <c r="B18" s="1" t="s">
        <v>37</v>
      </c>
      <c r="C18" s="1" t="s">
        <v>34</v>
      </c>
      <c r="D18" s="1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  <c r="N18" t="b">
        <f t="shared" si="0"/>
        <v>0</v>
      </c>
    </row>
    <row r="19" spans="1:14" x14ac:dyDescent="0.25">
      <c r="A19">
        <v>14</v>
      </c>
      <c r="B19" s="1" t="s">
        <v>38</v>
      </c>
      <c r="C19" s="1" t="s">
        <v>34</v>
      </c>
      <c r="D19" s="1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  <c r="N19" t="b">
        <f t="shared" si="0"/>
        <v>0</v>
      </c>
    </row>
    <row r="20" spans="1:14" x14ac:dyDescent="0.25">
      <c r="A20">
        <v>15</v>
      </c>
      <c r="B20" s="1" t="s">
        <v>39</v>
      </c>
      <c r="C20" s="1" t="s">
        <v>34</v>
      </c>
      <c r="D20" s="1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  <c r="N20" t="b">
        <f t="shared" si="0"/>
        <v>0</v>
      </c>
    </row>
    <row r="21" spans="1:14" x14ac:dyDescent="0.25">
      <c r="A21">
        <v>15</v>
      </c>
      <c r="B21" s="1" t="s">
        <v>40</v>
      </c>
      <c r="C21" s="1" t="s">
        <v>34</v>
      </c>
      <c r="D21" s="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  <c r="N21" t="b">
        <f t="shared" si="0"/>
        <v>1</v>
      </c>
    </row>
    <row r="22" spans="1:14" x14ac:dyDescent="0.25">
      <c r="A22">
        <v>16</v>
      </c>
      <c r="B22" s="1" t="s">
        <v>41</v>
      </c>
      <c r="C22" s="1" t="s">
        <v>42</v>
      </c>
      <c r="D22" s="1" t="s">
        <v>24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  <c r="N22" t="b">
        <f t="shared" si="0"/>
        <v>0</v>
      </c>
    </row>
    <row r="23" spans="1:14" x14ac:dyDescent="0.25">
      <c r="A23">
        <v>17</v>
      </c>
      <c r="B23" s="1" t="s">
        <v>43</v>
      </c>
      <c r="C23" s="1" t="s">
        <v>42</v>
      </c>
      <c r="D23" s="1" t="s">
        <v>24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  <c r="N23" t="b">
        <f t="shared" si="0"/>
        <v>0</v>
      </c>
    </row>
    <row r="24" spans="1:14" x14ac:dyDescent="0.25">
      <c r="A24">
        <v>18</v>
      </c>
      <c r="B24" s="1" t="s">
        <v>44</v>
      </c>
      <c r="C24" s="1" t="s">
        <v>42</v>
      </c>
      <c r="D24" s="1" t="s">
        <v>24</v>
      </c>
      <c r="E24">
        <v>579</v>
      </c>
      <c r="F24">
        <v>83</v>
      </c>
      <c r="G24">
        <v>80</v>
      </c>
      <c r="H24">
        <v>80</v>
      </c>
      <c r="I24">
        <v>135</v>
      </c>
      <c r="J24">
        <v>80</v>
      </c>
      <c r="K24">
        <v>121</v>
      </c>
      <c r="L24">
        <v>1</v>
      </c>
      <c r="M24" t="b">
        <v>0</v>
      </c>
      <c r="N24" t="b">
        <f t="shared" si="0"/>
        <v>1</v>
      </c>
    </row>
    <row r="25" spans="1:14" x14ac:dyDescent="0.25">
      <c r="A25">
        <v>18</v>
      </c>
      <c r="B25" s="1" t="s">
        <v>45</v>
      </c>
      <c r="C25" s="1" t="s">
        <v>42</v>
      </c>
      <c r="D25" s="1" t="s">
        <v>24</v>
      </c>
      <c r="E25">
        <v>479</v>
      </c>
      <c r="F25">
        <v>83</v>
      </c>
      <c r="G25">
        <v>80</v>
      </c>
      <c r="H25">
        <v>75</v>
      </c>
      <c r="I25">
        <v>70</v>
      </c>
      <c r="J25">
        <v>70</v>
      </c>
      <c r="K25">
        <v>101</v>
      </c>
      <c r="L25">
        <v>1</v>
      </c>
      <c r="M25" t="b">
        <v>0</v>
      </c>
      <c r="N25" t="b">
        <f t="shared" si="0"/>
        <v>0</v>
      </c>
    </row>
    <row r="26" spans="1:14" x14ac:dyDescent="0.25">
      <c r="A26">
        <v>19</v>
      </c>
      <c r="B26" s="1" t="s">
        <v>46</v>
      </c>
      <c r="C26" s="1" t="s">
        <v>42</v>
      </c>
      <c r="D26" s="1" t="s">
        <v>21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  <c r="N26" t="b">
        <f t="shared" si="0"/>
        <v>0</v>
      </c>
    </row>
    <row r="27" spans="1:14" x14ac:dyDescent="0.25">
      <c r="A27">
        <v>20</v>
      </c>
      <c r="B27" s="1" t="s">
        <v>47</v>
      </c>
      <c r="C27" s="1" t="s">
        <v>42</v>
      </c>
      <c r="D27" s="1" t="s">
        <v>21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  <c r="N27" t="b">
        <f t="shared" si="0"/>
        <v>0</v>
      </c>
    </row>
    <row r="28" spans="1:14" x14ac:dyDescent="0.25">
      <c r="A28">
        <v>21</v>
      </c>
      <c r="B28" s="1" t="s">
        <v>48</v>
      </c>
      <c r="C28" s="1" t="s">
        <v>42</v>
      </c>
      <c r="D28" s="1" t="s">
        <v>24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  <c r="N28" t="b">
        <f t="shared" si="0"/>
        <v>0</v>
      </c>
    </row>
    <row r="29" spans="1:14" x14ac:dyDescent="0.25">
      <c r="A29">
        <v>22</v>
      </c>
      <c r="B29" s="1" t="s">
        <v>49</v>
      </c>
      <c r="C29" s="1" t="s">
        <v>42</v>
      </c>
      <c r="D29" s="1" t="s">
        <v>24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  <c r="N29" t="b">
        <f t="shared" si="0"/>
        <v>0</v>
      </c>
    </row>
    <row r="30" spans="1:14" x14ac:dyDescent="0.25">
      <c r="A30">
        <v>23</v>
      </c>
      <c r="B30" s="1" t="s">
        <v>50</v>
      </c>
      <c r="C30" s="1" t="s">
        <v>15</v>
      </c>
      <c r="D30" s="1" t="s">
        <v>21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  <c r="N30" t="b">
        <f t="shared" si="0"/>
        <v>0</v>
      </c>
    </row>
    <row r="31" spans="1:14" x14ac:dyDescent="0.25">
      <c r="A31">
        <v>24</v>
      </c>
      <c r="B31" s="1" t="s">
        <v>51</v>
      </c>
      <c r="C31" s="1" t="s">
        <v>15</v>
      </c>
      <c r="D31" s="1" t="s">
        <v>21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  <c r="N31" t="b">
        <f t="shared" si="0"/>
        <v>0</v>
      </c>
    </row>
    <row r="32" spans="1:14" x14ac:dyDescent="0.25">
      <c r="A32">
        <v>25</v>
      </c>
      <c r="B32" s="1" t="s">
        <v>52</v>
      </c>
      <c r="C32" s="1" t="s">
        <v>53</v>
      </c>
      <c r="D32" s="1" t="s">
        <v>21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  <c r="N32" t="b">
        <f t="shared" si="0"/>
        <v>0</v>
      </c>
    </row>
    <row r="33" spans="1:14" x14ac:dyDescent="0.25">
      <c r="A33">
        <v>26</v>
      </c>
      <c r="B33" s="1" t="s">
        <v>54</v>
      </c>
      <c r="C33" s="1" t="s">
        <v>53</v>
      </c>
      <c r="D33" s="1" t="s">
        <v>21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  <c r="N33" t="b">
        <f t="shared" si="0"/>
        <v>0</v>
      </c>
    </row>
    <row r="34" spans="1:14" x14ac:dyDescent="0.25">
      <c r="A34">
        <v>27</v>
      </c>
      <c r="B34" s="1" t="s">
        <v>55</v>
      </c>
      <c r="C34" s="1" t="s">
        <v>56</v>
      </c>
      <c r="D34" s="1" t="s">
        <v>21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  <c r="N34" t="b">
        <f t="shared" si="0"/>
        <v>0</v>
      </c>
    </row>
    <row r="35" spans="1:14" x14ac:dyDescent="0.25">
      <c r="A35">
        <v>28</v>
      </c>
      <c r="B35" s="1" t="s">
        <v>57</v>
      </c>
      <c r="C35" s="1" t="s">
        <v>56</v>
      </c>
      <c r="D35" s="1" t="s">
        <v>21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  <c r="N35" t="b">
        <f t="shared" si="0"/>
        <v>0</v>
      </c>
    </row>
    <row r="36" spans="1:14" x14ac:dyDescent="0.25">
      <c r="A36">
        <v>29</v>
      </c>
      <c r="B36" s="1" t="s">
        <v>58</v>
      </c>
      <c r="C36" s="1" t="s">
        <v>15</v>
      </c>
      <c r="D36" s="1" t="s">
        <v>21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  <c r="N36" t="b">
        <f t="shared" si="0"/>
        <v>0</v>
      </c>
    </row>
    <row r="37" spans="1:14" x14ac:dyDescent="0.25">
      <c r="A37">
        <v>30</v>
      </c>
      <c r="B37" s="1" t="s">
        <v>59</v>
      </c>
      <c r="C37" s="1" t="s">
        <v>15</v>
      </c>
      <c r="D37" s="1" t="s">
        <v>21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  <c r="N37" t="b">
        <f t="shared" si="0"/>
        <v>0</v>
      </c>
    </row>
    <row r="38" spans="1:14" x14ac:dyDescent="0.25">
      <c r="A38">
        <v>31</v>
      </c>
      <c r="B38" s="1" t="s">
        <v>60</v>
      </c>
      <c r="C38" s="1" t="s">
        <v>15</v>
      </c>
      <c r="D38" s="1" t="s">
        <v>56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  <c r="N38" t="b">
        <f t="shared" si="0"/>
        <v>0</v>
      </c>
    </row>
    <row r="39" spans="1:14" x14ac:dyDescent="0.25">
      <c r="A39">
        <v>32</v>
      </c>
      <c r="B39" s="1" t="s">
        <v>61</v>
      </c>
      <c r="C39" s="1" t="s">
        <v>15</v>
      </c>
      <c r="D39" s="1" t="s">
        <v>21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  <c r="N39" t="b">
        <f t="shared" si="0"/>
        <v>0</v>
      </c>
    </row>
    <row r="40" spans="1:14" x14ac:dyDescent="0.25">
      <c r="A40">
        <v>33</v>
      </c>
      <c r="B40" s="1" t="s">
        <v>62</v>
      </c>
      <c r="C40" s="1" t="s">
        <v>15</v>
      </c>
      <c r="D40" s="1" t="s">
        <v>21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  <c r="N40" t="b">
        <f t="shared" si="0"/>
        <v>0</v>
      </c>
    </row>
    <row r="41" spans="1:14" x14ac:dyDescent="0.25">
      <c r="A41">
        <v>34</v>
      </c>
      <c r="B41" s="1" t="s">
        <v>63</v>
      </c>
      <c r="C41" s="1" t="s">
        <v>15</v>
      </c>
      <c r="D41" s="1" t="s">
        <v>56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  <c r="N41" t="b">
        <f t="shared" si="0"/>
        <v>0</v>
      </c>
    </row>
    <row r="42" spans="1:14" x14ac:dyDescent="0.25">
      <c r="A42">
        <v>35</v>
      </c>
      <c r="B42" s="1" t="s">
        <v>64</v>
      </c>
      <c r="C42" s="1" t="s">
        <v>65</v>
      </c>
      <c r="D42" s="1" t="s">
        <v>21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  <c r="N42" t="b">
        <f t="shared" si="0"/>
        <v>0</v>
      </c>
    </row>
    <row r="43" spans="1:14" x14ac:dyDescent="0.25">
      <c r="A43">
        <v>36</v>
      </c>
      <c r="B43" s="1" t="s">
        <v>66</v>
      </c>
      <c r="C43" s="1" t="s">
        <v>65</v>
      </c>
      <c r="D43" s="1" t="s">
        <v>21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  <c r="N43" t="b">
        <f t="shared" si="0"/>
        <v>0</v>
      </c>
    </row>
    <row r="44" spans="1:14" x14ac:dyDescent="0.25">
      <c r="A44">
        <v>37</v>
      </c>
      <c r="B44" s="1" t="s">
        <v>67</v>
      </c>
      <c r="C44" s="1" t="s">
        <v>20</v>
      </c>
      <c r="D44" s="1" t="s">
        <v>21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  <c r="N44" t="b">
        <f t="shared" si="0"/>
        <v>0</v>
      </c>
    </row>
    <row r="45" spans="1:14" x14ac:dyDescent="0.25">
      <c r="A45">
        <v>38</v>
      </c>
      <c r="B45" s="1" t="s">
        <v>68</v>
      </c>
      <c r="C45" s="1" t="s">
        <v>20</v>
      </c>
      <c r="D45" s="1" t="s">
        <v>21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  <c r="N45" t="b">
        <f t="shared" si="0"/>
        <v>0</v>
      </c>
    </row>
    <row r="46" spans="1:14" x14ac:dyDescent="0.25">
      <c r="A46">
        <v>39</v>
      </c>
      <c r="B46" s="1" t="s">
        <v>69</v>
      </c>
      <c r="C46" s="1" t="s">
        <v>42</v>
      </c>
      <c r="D46" s="1" t="s">
        <v>65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  <c r="N46" t="b">
        <f t="shared" si="0"/>
        <v>0</v>
      </c>
    </row>
    <row r="47" spans="1:14" x14ac:dyDescent="0.25">
      <c r="A47">
        <v>40</v>
      </c>
      <c r="B47" s="1" t="s">
        <v>70</v>
      </c>
      <c r="C47" s="1" t="s">
        <v>42</v>
      </c>
      <c r="D47" s="1" t="s">
        <v>65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  <c r="N47" t="b">
        <f t="shared" si="0"/>
        <v>0</v>
      </c>
    </row>
    <row r="48" spans="1:14" x14ac:dyDescent="0.25">
      <c r="A48">
        <v>41</v>
      </c>
      <c r="B48" s="1" t="s">
        <v>71</v>
      </c>
      <c r="C48" s="1" t="s">
        <v>15</v>
      </c>
      <c r="D48" s="1" t="s">
        <v>24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  <c r="N48" t="b">
        <f t="shared" si="0"/>
        <v>0</v>
      </c>
    </row>
    <row r="49" spans="1:14" x14ac:dyDescent="0.25">
      <c r="A49">
        <v>42</v>
      </c>
      <c r="B49" s="1" t="s">
        <v>72</v>
      </c>
      <c r="C49" s="1" t="s">
        <v>15</v>
      </c>
      <c r="D49" s="1" t="s">
        <v>24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  <c r="N49" t="b">
        <f t="shared" si="0"/>
        <v>0</v>
      </c>
    </row>
    <row r="50" spans="1:14" x14ac:dyDescent="0.25">
      <c r="A50">
        <v>43</v>
      </c>
      <c r="B50" s="1" t="s">
        <v>73</v>
      </c>
      <c r="C50" s="1" t="s">
        <v>14</v>
      </c>
      <c r="D50" s="1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  <c r="N50" t="b">
        <f t="shared" si="0"/>
        <v>0</v>
      </c>
    </row>
    <row r="51" spans="1:14" x14ac:dyDescent="0.25">
      <c r="A51">
        <v>44</v>
      </c>
      <c r="B51" s="1" t="s">
        <v>74</v>
      </c>
      <c r="C51" s="1" t="s">
        <v>14</v>
      </c>
      <c r="D51" s="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  <c r="N51" t="b">
        <f t="shared" si="0"/>
        <v>0</v>
      </c>
    </row>
    <row r="52" spans="1:14" x14ac:dyDescent="0.25">
      <c r="A52">
        <v>45</v>
      </c>
      <c r="B52" s="1" t="s">
        <v>75</v>
      </c>
      <c r="C52" s="1" t="s">
        <v>14</v>
      </c>
      <c r="D52" s="1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  <c r="N52" t="b">
        <f t="shared" si="0"/>
        <v>0</v>
      </c>
    </row>
    <row r="53" spans="1:14" x14ac:dyDescent="0.25">
      <c r="A53">
        <v>46</v>
      </c>
      <c r="B53" s="1" t="s">
        <v>76</v>
      </c>
      <c r="C53" s="1" t="s">
        <v>34</v>
      </c>
      <c r="D53" s="1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  <c r="N53" t="b">
        <f t="shared" si="0"/>
        <v>0</v>
      </c>
    </row>
    <row r="54" spans="1:14" x14ac:dyDescent="0.25">
      <c r="A54">
        <v>47</v>
      </c>
      <c r="B54" s="1" t="s">
        <v>77</v>
      </c>
      <c r="C54" s="1" t="s">
        <v>34</v>
      </c>
      <c r="D54" s="1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  <c r="N54" t="b">
        <f t="shared" si="0"/>
        <v>0</v>
      </c>
    </row>
    <row r="55" spans="1:14" x14ac:dyDescent="0.25">
      <c r="A55">
        <v>48</v>
      </c>
      <c r="B55" s="1" t="s">
        <v>78</v>
      </c>
      <c r="C55" s="1" t="s">
        <v>34</v>
      </c>
      <c r="D55" s="1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  <c r="N55" t="b">
        <f t="shared" si="0"/>
        <v>0</v>
      </c>
    </row>
    <row r="56" spans="1:14" x14ac:dyDescent="0.25">
      <c r="A56">
        <v>49</v>
      </c>
      <c r="B56" s="1" t="s">
        <v>79</v>
      </c>
      <c r="C56" s="1" t="s">
        <v>34</v>
      </c>
      <c r="D56" s="1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  <c r="N56" t="b">
        <f t="shared" si="0"/>
        <v>0</v>
      </c>
    </row>
    <row r="57" spans="1:14" x14ac:dyDescent="0.25">
      <c r="A57">
        <v>50</v>
      </c>
      <c r="B57" s="1" t="s">
        <v>80</v>
      </c>
      <c r="C57" s="1" t="s">
        <v>56</v>
      </c>
      <c r="D57" s="1" t="s">
        <v>21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  <c r="N57" t="b">
        <f t="shared" si="0"/>
        <v>0</v>
      </c>
    </row>
    <row r="58" spans="1:14" x14ac:dyDescent="0.25">
      <c r="A58">
        <v>51</v>
      </c>
      <c r="B58" s="1" t="s">
        <v>81</v>
      </c>
      <c r="C58" s="1" t="s">
        <v>56</v>
      </c>
      <c r="D58" s="1" t="s">
        <v>21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  <c r="N58" t="b">
        <f t="shared" si="0"/>
        <v>0</v>
      </c>
    </row>
    <row r="59" spans="1:14" x14ac:dyDescent="0.25">
      <c r="A59">
        <v>52</v>
      </c>
      <c r="B59" s="1" t="s">
        <v>82</v>
      </c>
      <c r="C59" s="1" t="s">
        <v>42</v>
      </c>
      <c r="D59" s="1" t="s">
        <v>21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  <c r="N59" t="b">
        <f t="shared" si="0"/>
        <v>0</v>
      </c>
    </row>
    <row r="60" spans="1:14" x14ac:dyDescent="0.25">
      <c r="A60">
        <v>53</v>
      </c>
      <c r="B60" s="1" t="s">
        <v>83</v>
      </c>
      <c r="C60" s="1" t="s">
        <v>42</v>
      </c>
      <c r="D60" s="1" t="s">
        <v>21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  <c r="N60" t="b">
        <f t="shared" si="0"/>
        <v>0</v>
      </c>
    </row>
    <row r="61" spans="1:14" x14ac:dyDescent="0.25">
      <c r="A61">
        <v>54</v>
      </c>
      <c r="B61" s="1" t="s">
        <v>84</v>
      </c>
      <c r="C61" s="1" t="s">
        <v>29</v>
      </c>
      <c r="D61" s="1" t="s">
        <v>21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  <c r="N61" t="b">
        <f t="shared" si="0"/>
        <v>0</v>
      </c>
    </row>
    <row r="62" spans="1:14" x14ac:dyDescent="0.25">
      <c r="A62">
        <v>55</v>
      </c>
      <c r="B62" s="1" t="s">
        <v>85</v>
      </c>
      <c r="C62" s="1" t="s">
        <v>29</v>
      </c>
      <c r="D62" s="1" t="s">
        <v>21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  <c r="N62" t="b">
        <f t="shared" si="0"/>
        <v>0</v>
      </c>
    </row>
    <row r="63" spans="1:14" x14ac:dyDescent="0.25">
      <c r="A63">
        <v>56</v>
      </c>
      <c r="B63" s="1" t="s">
        <v>86</v>
      </c>
      <c r="C63" s="1" t="s">
        <v>87</v>
      </c>
      <c r="D63" s="1" t="s">
        <v>21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  <c r="N63" t="b">
        <f t="shared" si="0"/>
        <v>0</v>
      </c>
    </row>
    <row r="64" spans="1:14" x14ac:dyDescent="0.25">
      <c r="A64">
        <v>57</v>
      </c>
      <c r="B64" s="1" t="s">
        <v>88</v>
      </c>
      <c r="C64" s="1" t="s">
        <v>87</v>
      </c>
      <c r="D64" s="1" t="s">
        <v>21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  <c r="N64" t="b">
        <f t="shared" si="0"/>
        <v>0</v>
      </c>
    </row>
    <row r="65" spans="1:14" x14ac:dyDescent="0.25">
      <c r="A65">
        <v>58</v>
      </c>
      <c r="B65" s="1" t="s">
        <v>89</v>
      </c>
      <c r="C65" s="1" t="s">
        <v>20</v>
      </c>
      <c r="D65" s="1" t="s">
        <v>21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  <c r="N65" t="b">
        <f t="shared" si="0"/>
        <v>0</v>
      </c>
    </row>
    <row r="66" spans="1:14" x14ac:dyDescent="0.25">
      <c r="A66">
        <v>59</v>
      </c>
      <c r="B66" s="1" t="s">
        <v>90</v>
      </c>
      <c r="C66" s="1" t="s">
        <v>20</v>
      </c>
      <c r="D66" s="1" t="s">
        <v>21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  <c r="N66" t="b">
        <f t="shared" ref="N66:N129" si="1">COUNTIF(B66,"*Mega*")&gt;0</f>
        <v>0</v>
      </c>
    </row>
    <row r="67" spans="1:14" x14ac:dyDescent="0.25">
      <c r="A67">
        <v>60</v>
      </c>
      <c r="B67" s="1" t="s">
        <v>91</v>
      </c>
      <c r="C67" s="1" t="s">
        <v>29</v>
      </c>
      <c r="D67" s="1" t="s">
        <v>21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  <c r="N67" t="b">
        <f t="shared" si="1"/>
        <v>0</v>
      </c>
    </row>
    <row r="68" spans="1:14" x14ac:dyDescent="0.25">
      <c r="A68">
        <v>61</v>
      </c>
      <c r="B68" s="1" t="s">
        <v>92</v>
      </c>
      <c r="C68" s="1" t="s">
        <v>29</v>
      </c>
      <c r="D68" s="1" t="s">
        <v>21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  <c r="N68" t="b">
        <f t="shared" si="1"/>
        <v>0</v>
      </c>
    </row>
    <row r="69" spans="1:14" x14ac:dyDescent="0.25">
      <c r="A69">
        <v>62</v>
      </c>
      <c r="B69" s="1" t="s">
        <v>93</v>
      </c>
      <c r="C69" s="1" t="s">
        <v>29</v>
      </c>
      <c r="D69" s="1" t="s">
        <v>87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  <c r="N69" t="b">
        <f t="shared" si="1"/>
        <v>0</v>
      </c>
    </row>
    <row r="70" spans="1:14" x14ac:dyDescent="0.25">
      <c r="A70">
        <v>63</v>
      </c>
      <c r="B70" s="1" t="s">
        <v>94</v>
      </c>
      <c r="C70" s="1" t="s">
        <v>95</v>
      </c>
      <c r="D70" s="1" t="s">
        <v>21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  <c r="N70" t="b">
        <f t="shared" si="1"/>
        <v>0</v>
      </c>
    </row>
    <row r="71" spans="1:14" x14ac:dyDescent="0.25">
      <c r="A71">
        <v>64</v>
      </c>
      <c r="B71" s="1" t="s">
        <v>96</v>
      </c>
      <c r="C71" s="1" t="s">
        <v>95</v>
      </c>
      <c r="D71" s="1" t="s">
        <v>21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  <c r="N71" t="b">
        <f t="shared" si="1"/>
        <v>0</v>
      </c>
    </row>
    <row r="72" spans="1:14" x14ac:dyDescent="0.25">
      <c r="A72">
        <v>65</v>
      </c>
      <c r="B72" s="1" t="s">
        <v>97</v>
      </c>
      <c r="C72" s="1" t="s">
        <v>95</v>
      </c>
      <c r="D72" s="1" t="s">
        <v>21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  <c r="N72" t="b">
        <f t="shared" si="1"/>
        <v>0</v>
      </c>
    </row>
    <row r="73" spans="1:14" x14ac:dyDescent="0.25">
      <c r="A73">
        <v>65</v>
      </c>
      <c r="B73" s="1" t="s">
        <v>98</v>
      </c>
      <c r="C73" s="1" t="s">
        <v>95</v>
      </c>
      <c r="D73" s="1" t="s">
        <v>21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  <c r="N73" t="b">
        <f t="shared" si="1"/>
        <v>1</v>
      </c>
    </row>
    <row r="74" spans="1:14" x14ac:dyDescent="0.25">
      <c r="A74">
        <v>66</v>
      </c>
      <c r="B74" s="1" t="s">
        <v>99</v>
      </c>
      <c r="C74" s="1" t="s">
        <v>87</v>
      </c>
      <c r="D74" s="1" t="s">
        <v>21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  <c r="N74" t="b">
        <f t="shared" si="1"/>
        <v>0</v>
      </c>
    </row>
    <row r="75" spans="1:14" x14ac:dyDescent="0.25">
      <c r="A75">
        <v>67</v>
      </c>
      <c r="B75" s="1" t="s">
        <v>100</v>
      </c>
      <c r="C75" s="1" t="s">
        <v>87</v>
      </c>
      <c r="D75" s="1" t="s">
        <v>21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  <c r="N75" t="b">
        <f t="shared" si="1"/>
        <v>0</v>
      </c>
    </row>
    <row r="76" spans="1:14" x14ac:dyDescent="0.25">
      <c r="A76">
        <v>68</v>
      </c>
      <c r="B76" s="1" t="s">
        <v>101</v>
      </c>
      <c r="C76" s="1" t="s">
        <v>87</v>
      </c>
      <c r="D76" s="1" t="s">
        <v>21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  <c r="N76" t="b">
        <f t="shared" si="1"/>
        <v>0</v>
      </c>
    </row>
    <row r="77" spans="1:14" x14ac:dyDescent="0.25">
      <c r="A77">
        <v>69</v>
      </c>
      <c r="B77" s="1" t="s">
        <v>102</v>
      </c>
      <c r="C77" s="1" t="s">
        <v>14</v>
      </c>
      <c r="D77" s="1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  <c r="N77" t="b">
        <f t="shared" si="1"/>
        <v>0</v>
      </c>
    </row>
    <row r="78" spans="1:14" x14ac:dyDescent="0.25">
      <c r="A78">
        <v>70</v>
      </c>
      <c r="B78" s="1" t="s">
        <v>103</v>
      </c>
      <c r="C78" s="1" t="s">
        <v>14</v>
      </c>
      <c r="D78" s="1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  <c r="N78" t="b">
        <f t="shared" si="1"/>
        <v>0</v>
      </c>
    </row>
    <row r="79" spans="1:14" x14ac:dyDescent="0.25">
      <c r="A79">
        <v>71</v>
      </c>
      <c r="B79" s="1" t="s">
        <v>104</v>
      </c>
      <c r="C79" s="1" t="s">
        <v>14</v>
      </c>
      <c r="D79" s="1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  <c r="N79" t="b">
        <f t="shared" si="1"/>
        <v>0</v>
      </c>
    </row>
    <row r="80" spans="1:14" x14ac:dyDescent="0.25">
      <c r="A80">
        <v>72</v>
      </c>
      <c r="B80" s="1" t="s">
        <v>105</v>
      </c>
      <c r="C80" s="1" t="s">
        <v>29</v>
      </c>
      <c r="D80" s="1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  <c r="N80" t="b">
        <f t="shared" si="1"/>
        <v>0</v>
      </c>
    </row>
    <row r="81" spans="1:14" x14ac:dyDescent="0.25">
      <c r="A81">
        <v>73</v>
      </c>
      <c r="B81" s="1" t="s">
        <v>106</v>
      </c>
      <c r="C81" s="1" t="s">
        <v>29</v>
      </c>
      <c r="D81" s="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  <c r="N81" t="b">
        <f t="shared" si="1"/>
        <v>0</v>
      </c>
    </row>
    <row r="82" spans="1:14" x14ac:dyDescent="0.25">
      <c r="A82">
        <v>74</v>
      </c>
      <c r="B82" s="1" t="s">
        <v>107</v>
      </c>
      <c r="C82" s="1" t="s">
        <v>108</v>
      </c>
      <c r="D82" s="1" t="s">
        <v>56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  <c r="N82" t="b">
        <f t="shared" si="1"/>
        <v>0</v>
      </c>
    </row>
    <row r="83" spans="1:14" x14ac:dyDescent="0.25">
      <c r="A83">
        <v>75</v>
      </c>
      <c r="B83" s="1" t="s">
        <v>109</v>
      </c>
      <c r="C83" s="1" t="s">
        <v>108</v>
      </c>
      <c r="D83" s="1" t="s">
        <v>56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  <c r="N83" t="b">
        <f t="shared" si="1"/>
        <v>0</v>
      </c>
    </row>
    <row r="84" spans="1:14" x14ac:dyDescent="0.25">
      <c r="A84">
        <v>76</v>
      </c>
      <c r="B84" s="1" t="s">
        <v>110</v>
      </c>
      <c r="C84" s="1" t="s">
        <v>108</v>
      </c>
      <c r="D84" s="1" t="s">
        <v>56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  <c r="N84" t="b">
        <f t="shared" si="1"/>
        <v>0</v>
      </c>
    </row>
    <row r="85" spans="1:14" x14ac:dyDescent="0.25">
      <c r="A85">
        <v>77</v>
      </c>
      <c r="B85" s="1" t="s">
        <v>111</v>
      </c>
      <c r="C85" s="1" t="s">
        <v>20</v>
      </c>
      <c r="D85" s="1" t="s">
        <v>21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  <c r="N85" t="b">
        <f t="shared" si="1"/>
        <v>0</v>
      </c>
    </row>
    <row r="86" spans="1:14" x14ac:dyDescent="0.25">
      <c r="A86">
        <v>78</v>
      </c>
      <c r="B86" s="1" t="s">
        <v>112</v>
      </c>
      <c r="C86" s="1" t="s">
        <v>20</v>
      </c>
      <c r="D86" s="1" t="s">
        <v>21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  <c r="N86" t="b">
        <f t="shared" si="1"/>
        <v>0</v>
      </c>
    </row>
    <row r="87" spans="1:14" x14ac:dyDescent="0.25">
      <c r="A87">
        <v>79</v>
      </c>
      <c r="B87" s="1" t="s">
        <v>113</v>
      </c>
      <c r="C87" s="1" t="s">
        <v>29</v>
      </c>
      <c r="D87" s="1" t="s">
        <v>95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  <c r="N87" t="b">
        <f t="shared" si="1"/>
        <v>0</v>
      </c>
    </row>
    <row r="88" spans="1:14" x14ac:dyDescent="0.25">
      <c r="A88">
        <v>80</v>
      </c>
      <c r="B88" s="1" t="s">
        <v>114</v>
      </c>
      <c r="C88" s="1" t="s">
        <v>29</v>
      </c>
      <c r="D88" s="1" t="s">
        <v>95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  <c r="N88" t="b">
        <f t="shared" si="1"/>
        <v>0</v>
      </c>
    </row>
    <row r="89" spans="1:14" x14ac:dyDescent="0.25">
      <c r="A89">
        <v>80</v>
      </c>
      <c r="B89" s="1" t="s">
        <v>115</v>
      </c>
      <c r="C89" s="1" t="s">
        <v>29</v>
      </c>
      <c r="D89" s="1" t="s">
        <v>95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  <c r="N89" t="b">
        <f t="shared" si="1"/>
        <v>1</v>
      </c>
    </row>
    <row r="90" spans="1:14" x14ac:dyDescent="0.25">
      <c r="A90">
        <v>81</v>
      </c>
      <c r="B90" s="1" t="s">
        <v>116</v>
      </c>
      <c r="C90" s="1" t="s">
        <v>53</v>
      </c>
      <c r="D90" s="1" t="s">
        <v>117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  <c r="N90" t="b">
        <f t="shared" si="1"/>
        <v>0</v>
      </c>
    </row>
    <row r="91" spans="1:14" x14ac:dyDescent="0.25">
      <c r="A91">
        <v>82</v>
      </c>
      <c r="B91" s="1" t="s">
        <v>118</v>
      </c>
      <c r="C91" s="1" t="s">
        <v>53</v>
      </c>
      <c r="D91" s="1" t="s">
        <v>117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  <c r="N91" t="b">
        <f t="shared" si="1"/>
        <v>0</v>
      </c>
    </row>
    <row r="92" spans="1:14" x14ac:dyDescent="0.25">
      <c r="A92">
        <v>83</v>
      </c>
      <c r="B92" s="1" t="s">
        <v>119</v>
      </c>
      <c r="C92" s="1" t="s">
        <v>42</v>
      </c>
      <c r="D92" s="1" t="s">
        <v>24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  <c r="N92" t="b">
        <f t="shared" si="1"/>
        <v>0</v>
      </c>
    </row>
    <row r="93" spans="1:14" x14ac:dyDescent="0.25">
      <c r="A93">
        <v>84</v>
      </c>
      <c r="B93" s="1" t="s">
        <v>120</v>
      </c>
      <c r="C93" s="1" t="s">
        <v>42</v>
      </c>
      <c r="D93" s="1" t="s">
        <v>24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  <c r="N93" t="b">
        <f t="shared" si="1"/>
        <v>0</v>
      </c>
    </row>
    <row r="94" spans="1:14" x14ac:dyDescent="0.25">
      <c r="A94">
        <v>85</v>
      </c>
      <c r="B94" s="1" t="s">
        <v>121</v>
      </c>
      <c r="C94" s="1" t="s">
        <v>42</v>
      </c>
      <c r="D94" s="1" t="s">
        <v>24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  <c r="N94" t="b">
        <f t="shared" si="1"/>
        <v>0</v>
      </c>
    </row>
    <row r="95" spans="1:14" x14ac:dyDescent="0.25">
      <c r="A95">
        <v>86</v>
      </c>
      <c r="B95" s="1" t="s">
        <v>122</v>
      </c>
      <c r="C95" s="1" t="s">
        <v>29</v>
      </c>
      <c r="D95" s="1" t="s">
        <v>21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  <c r="N95" t="b">
        <f t="shared" si="1"/>
        <v>0</v>
      </c>
    </row>
    <row r="96" spans="1:14" x14ac:dyDescent="0.25">
      <c r="A96">
        <v>87</v>
      </c>
      <c r="B96" s="1" t="s">
        <v>123</v>
      </c>
      <c r="C96" s="1" t="s">
        <v>29</v>
      </c>
      <c r="D96" s="1" t="s">
        <v>124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  <c r="N96" t="b">
        <f t="shared" si="1"/>
        <v>0</v>
      </c>
    </row>
    <row r="97" spans="1:14" x14ac:dyDescent="0.25">
      <c r="A97">
        <v>88</v>
      </c>
      <c r="B97" s="1" t="s">
        <v>125</v>
      </c>
      <c r="C97" s="1" t="s">
        <v>15</v>
      </c>
      <c r="D97" s="1" t="s">
        <v>21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  <c r="N97" t="b">
        <f t="shared" si="1"/>
        <v>0</v>
      </c>
    </row>
    <row r="98" spans="1:14" x14ac:dyDescent="0.25">
      <c r="A98">
        <v>89</v>
      </c>
      <c r="B98" s="1" t="s">
        <v>126</v>
      </c>
      <c r="C98" s="1" t="s">
        <v>15</v>
      </c>
      <c r="D98" s="1" t="s">
        <v>21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  <c r="N98" t="b">
        <f t="shared" si="1"/>
        <v>0</v>
      </c>
    </row>
    <row r="99" spans="1:14" x14ac:dyDescent="0.25">
      <c r="A99">
        <v>90</v>
      </c>
      <c r="B99" s="1" t="s">
        <v>127</v>
      </c>
      <c r="C99" s="1" t="s">
        <v>29</v>
      </c>
      <c r="D99" s="1" t="s">
        <v>21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  <c r="N99" t="b">
        <f t="shared" si="1"/>
        <v>0</v>
      </c>
    </row>
    <row r="100" spans="1:14" x14ac:dyDescent="0.25">
      <c r="A100">
        <v>91</v>
      </c>
      <c r="B100" s="1" t="s">
        <v>128</v>
      </c>
      <c r="C100" s="1" t="s">
        <v>29</v>
      </c>
      <c r="D100" s="1" t="s">
        <v>124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  <c r="N100" t="b">
        <f t="shared" si="1"/>
        <v>0</v>
      </c>
    </row>
    <row r="101" spans="1:14" x14ac:dyDescent="0.25">
      <c r="A101">
        <v>92</v>
      </c>
      <c r="B101" s="1" t="s">
        <v>129</v>
      </c>
      <c r="C101" s="1" t="s">
        <v>130</v>
      </c>
      <c r="D101" s="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  <c r="N101" t="b">
        <f t="shared" si="1"/>
        <v>0</v>
      </c>
    </row>
    <row r="102" spans="1:14" x14ac:dyDescent="0.25">
      <c r="A102">
        <v>93</v>
      </c>
      <c r="B102" s="1" t="s">
        <v>131</v>
      </c>
      <c r="C102" s="1" t="s">
        <v>130</v>
      </c>
      <c r="D102" s="1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  <c r="N102" t="b">
        <f t="shared" si="1"/>
        <v>0</v>
      </c>
    </row>
    <row r="103" spans="1:14" x14ac:dyDescent="0.25">
      <c r="A103">
        <v>94</v>
      </c>
      <c r="B103" s="1" t="s">
        <v>132</v>
      </c>
      <c r="C103" s="1" t="s">
        <v>130</v>
      </c>
      <c r="D103" s="1" t="s">
        <v>15</v>
      </c>
      <c r="E103">
        <v>600</v>
      </c>
      <c r="F103">
        <v>60</v>
      </c>
      <c r="G103">
        <v>65</v>
      </c>
      <c r="H103">
        <v>80</v>
      </c>
      <c r="I103">
        <v>170</v>
      </c>
      <c r="J103">
        <v>95</v>
      </c>
      <c r="K103">
        <v>130</v>
      </c>
      <c r="L103">
        <v>1</v>
      </c>
      <c r="M103" t="b">
        <v>0</v>
      </c>
      <c r="N103" t="b">
        <f t="shared" si="1"/>
        <v>1</v>
      </c>
    </row>
    <row r="104" spans="1:14" x14ac:dyDescent="0.25">
      <c r="A104">
        <v>94</v>
      </c>
      <c r="B104" s="1" t="s">
        <v>133</v>
      </c>
      <c r="C104" s="1" t="s">
        <v>130</v>
      </c>
      <c r="D104" s="1" t="s">
        <v>15</v>
      </c>
      <c r="E104">
        <v>500</v>
      </c>
      <c r="F104">
        <v>60</v>
      </c>
      <c r="G104">
        <v>65</v>
      </c>
      <c r="H104">
        <v>60</v>
      </c>
      <c r="I104">
        <v>130</v>
      </c>
      <c r="J104">
        <v>75</v>
      </c>
      <c r="K104">
        <v>110</v>
      </c>
      <c r="L104">
        <v>1</v>
      </c>
      <c r="M104" t="b">
        <v>0</v>
      </c>
      <c r="N104" t="b">
        <f t="shared" si="1"/>
        <v>0</v>
      </c>
    </row>
    <row r="105" spans="1:14" x14ac:dyDescent="0.25">
      <c r="A105">
        <v>95</v>
      </c>
      <c r="B105" s="1" t="s">
        <v>134</v>
      </c>
      <c r="C105" s="1" t="s">
        <v>108</v>
      </c>
      <c r="D105" s="1" t="s">
        <v>56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  <c r="N105" t="b">
        <f t="shared" si="1"/>
        <v>0</v>
      </c>
    </row>
    <row r="106" spans="1:14" x14ac:dyDescent="0.25">
      <c r="A106">
        <v>96</v>
      </c>
      <c r="B106" s="1" t="s">
        <v>135</v>
      </c>
      <c r="C106" s="1" t="s">
        <v>95</v>
      </c>
      <c r="D106" s="1" t="s">
        <v>21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  <c r="N106" t="b">
        <f t="shared" si="1"/>
        <v>0</v>
      </c>
    </row>
    <row r="107" spans="1:14" x14ac:dyDescent="0.25">
      <c r="A107">
        <v>97</v>
      </c>
      <c r="B107" s="1" t="s">
        <v>136</v>
      </c>
      <c r="C107" s="1" t="s">
        <v>95</v>
      </c>
      <c r="D107" s="1" t="s">
        <v>21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  <c r="N107" t="b">
        <f t="shared" si="1"/>
        <v>0</v>
      </c>
    </row>
    <row r="108" spans="1:14" x14ac:dyDescent="0.25">
      <c r="A108">
        <v>98</v>
      </c>
      <c r="B108" s="1" t="s">
        <v>137</v>
      </c>
      <c r="C108" s="1" t="s">
        <v>29</v>
      </c>
      <c r="D108" s="1" t="s">
        <v>21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  <c r="N108" t="b">
        <f t="shared" si="1"/>
        <v>0</v>
      </c>
    </row>
    <row r="109" spans="1:14" x14ac:dyDescent="0.25">
      <c r="A109">
        <v>99</v>
      </c>
      <c r="B109" s="1" t="s">
        <v>138</v>
      </c>
      <c r="C109" s="1" t="s">
        <v>29</v>
      </c>
      <c r="D109" s="1" t="s">
        <v>21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  <c r="N109" t="b">
        <f t="shared" si="1"/>
        <v>0</v>
      </c>
    </row>
    <row r="110" spans="1:14" x14ac:dyDescent="0.25">
      <c r="A110">
        <v>100</v>
      </c>
      <c r="B110" s="1" t="s">
        <v>139</v>
      </c>
      <c r="C110" s="1" t="s">
        <v>53</v>
      </c>
      <c r="D110" s="1" t="s">
        <v>21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  <c r="N110" t="b">
        <f t="shared" si="1"/>
        <v>0</v>
      </c>
    </row>
    <row r="111" spans="1:14" x14ac:dyDescent="0.25">
      <c r="A111">
        <v>101</v>
      </c>
      <c r="B111" s="1" t="s">
        <v>140</v>
      </c>
      <c r="C111" s="1" t="s">
        <v>53</v>
      </c>
      <c r="D111" s="1" t="s">
        <v>21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  <c r="N111" t="b">
        <f t="shared" si="1"/>
        <v>0</v>
      </c>
    </row>
    <row r="112" spans="1:14" x14ac:dyDescent="0.25">
      <c r="A112">
        <v>102</v>
      </c>
      <c r="B112" s="1" t="s">
        <v>141</v>
      </c>
      <c r="C112" s="1" t="s">
        <v>14</v>
      </c>
      <c r="D112" s="1" t="s">
        <v>95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  <c r="N112" t="b">
        <f t="shared" si="1"/>
        <v>0</v>
      </c>
    </row>
    <row r="113" spans="1:14" x14ac:dyDescent="0.25">
      <c r="A113">
        <v>103</v>
      </c>
      <c r="B113" s="1" t="s">
        <v>142</v>
      </c>
      <c r="C113" s="1" t="s">
        <v>14</v>
      </c>
      <c r="D113" s="1" t="s">
        <v>95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  <c r="N113" t="b">
        <f t="shared" si="1"/>
        <v>0</v>
      </c>
    </row>
    <row r="114" spans="1:14" x14ac:dyDescent="0.25">
      <c r="A114">
        <v>104</v>
      </c>
      <c r="B114" s="1" t="s">
        <v>143</v>
      </c>
      <c r="C114" s="1" t="s">
        <v>56</v>
      </c>
      <c r="D114" s="1" t="s">
        <v>21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  <c r="N114" t="b">
        <f t="shared" si="1"/>
        <v>0</v>
      </c>
    </row>
    <row r="115" spans="1:14" x14ac:dyDescent="0.25">
      <c r="A115">
        <v>105</v>
      </c>
      <c r="B115" s="1" t="s">
        <v>144</v>
      </c>
      <c r="C115" s="1" t="s">
        <v>56</v>
      </c>
      <c r="D115" s="1" t="s">
        <v>21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  <c r="N115" t="b">
        <f t="shared" si="1"/>
        <v>0</v>
      </c>
    </row>
    <row r="116" spans="1:14" x14ac:dyDescent="0.25">
      <c r="A116">
        <v>106</v>
      </c>
      <c r="B116" s="1" t="s">
        <v>145</v>
      </c>
      <c r="C116" s="1" t="s">
        <v>87</v>
      </c>
      <c r="D116" s="1" t="s">
        <v>21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  <c r="N116" t="b">
        <f t="shared" si="1"/>
        <v>0</v>
      </c>
    </row>
    <row r="117" spans="1:14" x14ac:dyDescent="0.25">
      <c r="A117">
        <v>107</v>
      </c>
      <c r="B117" s="1" t="s">
        <v>146</v>
      </c>
      <c r="C117" s="1" t="s">
        <v>87</v>
      </c>
      <c r="D117" s="1" t="s">
        <v>21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  <c r="N117" t="b">
        <f t="shared" si="1"/>
        <v>0</v>
      </c>
    </row>
    <row r="118" spans="1:14" x14ac:dyDescent="0.25">
      <c r="A118">
        <v>108</v>
      </c>
      <c r="B118" s="1" t="s">
        <v>147</v>
      </c>
      <c r="C118" s="1" t="s">
        <v>42</v>
      </c>
      <c r="D118" s="1" t="s">
        <v>21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  <c r="N118" t="b">
        <f t="shared" si="1"/>
        <v>0</v>
      </c>
    </row>
    <row r="119" spans="1:14" x14ac:dyDescent="0.25">
      <c r="A119">
        <v>109</v>
      </c>
      <c r="B119" s="1" t="s">
        <v>148</v>
      </c>
      <c r="C119" s="1" t="s">
        <v>15</v>
      </c>
      <c r="D119" s="1" t="s">
        <v>21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  <c r="N119" t="b">
        <f t="shared" si="1"/>
        <v>0</v>
      </c>
    </row>
    <row r="120" spans="1:14" x14ac:dyDescent="0.25">
      <c r="A120">
        <v>110</v>
      </c>
      <c r="B120" s="1" t="s">
        <v>149</v>
      </c>
      <c r="C120" s="1" t="s">
        <v>15</v>
      </c>
      <c r="D120" s="1" t="s">
        <v>21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  <c r="N120" t="b">
        <f t="shared" si="1"/>
        <v>0</v>
      </c>
    </row>
    <row r="121" spans="1:14" x14ac:dyDescent="0.25">
      <c r="A121">
        <v>111</v>
      </c>
      <c r="B121" s="1" t="s">
        <v>150</v>
      </c>
      <c r="C121" s="1" t="s">
        <v>56</v>
      </c>
      <c r="D121" s="1" t="s">
        <v>108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  <c r="N121" t="b">
        <f t="shared" si="1"/>
        <v>0</v>
      </c>
    </row>
    <row r="122" spans="1:14" x14ac:dyDescent="0.25">
      <c r="A122">
        <v>112</v>
      </c>
      <c r="B122" s="1" t="s">
        <v>151</v>
      </c>
      <c r="C122" s="1" t="s">
        <v>56</v>
      </c>
      <c r="D122" s="1" t="s">
        <v>108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  <c r="N122" t="b">
        <f t="shared" si="1"/>
        <v>0</v>
      </c>
    </row>
    <row r="123" spans="1:14" x14ac:dyDescent="0.25">
      <c r="A123">
        <v>113</v>
      </c>
      <c r="B123" s="1" t="s">
        <v>152</v>
      </c>
      <c r="C123" s="1" t="s">
        <v>42</v>
      </c>
      <c r="D123" s="1" t="s">
        <v>21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  <c r="N123" t="b">
        <f t="shared" si="1"/>
        <v>0</v>
      </c>
    </row>
    <row r="124" spans="1:14" x14ac:dyDescent="0.25">
      <c r="A124">
        <v>114</v>
      </c>
      <c r="B124" s="1" t="s">
        <v>153</v>
      </c>
      <c r="C124" s="1" t="s">
        <v>14</v>
      </c>
      <c r="D124" s="1" t="s">
        <v>21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  <c r="N124" t="b">
        <f t="shared" si="1"/>
        <v>0</v>
      </c>
    </row>
    <row r="125" spans="1:14" x14ac:dyDescent="0.25">
      <c r="A125">
        <v>115</v>
      </c>
      <c r="B125" s="1" t="s">
        <v>154</v>
      </c>
      <c r="C125" s="1" t="s">
        <v>42</v>
      </c>
      <c r="D125" s="1" t="s">
        <v>21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  <c r="N125" t="b">
        <f t="shared" si="1"/>
        <v>0</v>
      </c>
    </row>
    <row r="126" spans="1:14" x14ac:dyDescent="0.25">
      <c r="A126">
        <v>115</v>
      </c>
      <c r="B126" s="1" t="s">
        <v>155</v>
      </c>
      <c r="C126" s="1" t="s">
        <v>42</v>
      </c>
      <c r="D126" s="1" t="s">
        <v>21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  <c r="N126" t="b">
        <f t="shared" si="1"/>
        <v>1</v>
      </c>
    </row>
    <row r="127" spans="1:14" x14ac:dyDescent="0.25">
      <c r="A127">
        <v>116</v>
      </c>
      <c r="B127" s="1" t="s">
        <v>156</v>
      </c>
      <c r="C127" s="1" t="s">
        <v>29</v>
      </c>
      <c r="D127" s="1" t="s">
        <v>21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  <c r="N127" t="b">
        <f t="shared" si="1"/>
        <v>0</v>
      </c>
    </row>
    <row r="128" spans="1:14" x14ac:dyDescent="0.25">
      <c r="A128">
        <v>117</v>
      </c>
      <c r="B128" s="1" t="s">
        <v>157</v>
      </c>
      <c r="C128" s="1" t="s">
        <v>29</v>
      </c>
      <c r="D128" s="1" t="s">
        <v>21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  <c r="N128" t="b">
        <f t="shared" si="1"/>
        <v>0</v>
      </c>
    </row>
    <row r="129" spans="1:14" x14ac:dyDescent="0.25">
      <c r="A129">
        <v>118</v>
      </c>
      <c r="B129" s="1" t="s">
        <v>158</v>
      </c>
      <c r="C129" s="1" t="s">
        <v>29</v>
      </c>
      <c r="D129" s="1" t="s">
        <v>21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  <c r="N129" t="b">
        <f t="shared" si="1"/>
        <v>0</v>
      </c>
    </row>
    <row r="130" spans="1:14" x14ac:dyDescent="0.25">
      <c r="A130">
        <v>119</v>
      </c>
      <c r="B130" s="1" t="s">
        <v>159</v>
      </c>
      <c r="C130" s="1" t="s">
        <v>29</v>
      </c>
      <c r="D130" s="1" t="s">
        <v>21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  <c r="N130" t="b">
        <f t="shared" ref="N130:N193" si="2">COUNTIF(B130,"*Mega*")&gt;0</f>
        <v>0</v>
      </c>
    </row>
    <row r="131" spans="1:14" x14ac:dyDescent="0.25">
      <c r="A131">
        <v>120</v>
      </c>
      <c r="B131" s="1" t="s">
        <v>160</v>
      </c>
      <c r="C131" s="1" t="s">
        <v>29</v>
      </c>
      <c r="D131" s="1" t="s">
        <v>21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  <c r="N131" t="b">
        <f t="shared" si="2"/>
        <v>0</v>
      </c>
    </row>
    <row r="132" spans="1:14" x14ac:dyDescent="0.25">
      <c r="A132">
        <v>121</v>
      </c>
      <c r="B132" s="1" t="s">
        <v>161</v>
      </c>
      <c r="C132" s="1" t="s">
        <v>29</v>
      </c>
      <c r="D132" s="1" t="s">
        <v>95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  <c r="N132" t="b">
        <f t="shared" si="2"/>
        <v>0</v>
      </c>
    </row>
    <row r="133" spans="1:14" x14ac:dyDescent="0.25">
      <c r="A133">
        <v>122</v>
      </c>
      <c r="B133" s="1" t="s">
        <v>162</v>
      </c>
      <c r="C133" s="1" t="s">
        <v>95</v>
      </c>
      <c r="D133" s="1" t="s">
        <v>65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  <c r="N133" t="b">
        <f t="shared" si="2"/>
        <v>0</v>
      </c>
    </row>
    <row r="134" spans="1:14" x14ac:dyDescent="0.25">
      <c r="A134">
        <v>123</v>
      </c>
      <c r="B134" s="1" t="s">
        <v>163</v>
      </c>
      <c r="C134" s="1" t="s">
        <v>34</v>
      </c>
      <c r="D134" s="1" t="s">
        <v>24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  <c r="N134" t="b">
        <f t="shared" si="2"/>
        <v>0</v>
      </c>
    </row>
    <row r="135" spans="1:14" x14ac:dyDescent="0.25">
      <c r="A135">
        <v>124</v>
      </c>
      <c r="B135" s="1" t="s">
        <v>164</v>
      </c>
      <c r="C135" s="1" t="s">
        <v>124</v>
      </c>
      <c r="D135" s="1" t="s">
        <v>95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  <c r="N135" t="b">
        <f t="shared" si="2"/>
        <v>0</v>
      </c>
    </row>
    <row r="136" spans="1:14" x14ac:dyDescent="0.25">
      <c r="A136">
        <v>125</v>
      </c>
      <c r="B136" s="1" t="s">
        <v>165</v>
      </c>
      <c r="C136" s="1" t="s">
        <v>53</v>
      </c>
      <c r="D136" s="1" t="s">
        <v>21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  <c r="N136" t="b">
        <f t="shared" si="2"/>
        <v>0</v>
      </c>
    </row>
    <row r="137" spans="1:14" x14ac:dyDescent="0.25">
      <c r="A137">
        <v>126</v>
      </c>
      <c r="B137" s="1" t="s">
        <v>166</v>
      </c>
      <c r="C137" s="1" t="s">
        <v>20</v>
      </c>
      <c r="D137" s="1" t="s">
        <v>21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  <c r="N137" t="b">
        <f t="shared" si="2"/>
        <v>0</v>
      </c>
    </row>
    <row r="138" spans="1:14" x14ac:dyDescent="0.25">
      <c r="A138">
        <v>127</v>
      </c>
      <c r="B138" s="1" t="s">
        <v>167</v>
      </c>
      <c r="C138" s="1" t="s">
        <v>34</v>
      </c>
      <c r="D138" s="1" t="s">
        <v>24</v>
      </c>
      <c r="E138">
        <v>600</v>
      </c>
      <c r="F138">
        <v>65</v>
      </c>
      <c r="G138">
        <v>155</v>
      </c>
      <c r="H138">
        <v>120</v>
      </c>
      <c r="I138">
        <v>65</v>
      </c>
      <c r="J138">
        <v>90</v>
      </c>
      <c r="K138">
        <v>105</v>
      </c>
      <c r="L138">
        <v>1</v>
      </c>
      <c r="M138" t="b">
        <v>0</v>
      </c>
      <c r="N138" t="b">
        <f t="shared" si="2"/>
        <v>1</v>
      </c>
    </row>
    <row r="139" spans="1:14" x14ac:dyDescent="0.25">
      <c r="A139">
        <v>127</v>
      </c>
      <c r="B139" s="1" t="s">
        <v>168</v>
      </c>
      <c r="C139" s="1" t="s">
        <v>34</v>
      </c>
      <c r="D139" s="1" t="s">
        <v>21</v>
      </c>
      <c r="E139">
        <v>500</v>
      </c>
      <c r="F139">
        <v>65</v>
      </c>
      <c r="G139">
        <v>125</v>
      </c>
      <c r="H139">
        <v>100</v>
      </c>
      <c r="I139">
        <v>55</v>
      </c>
      <c r="J139">
        <v>70</v>
      </c>
      <c r="K139">
        <v>85</v>
      </c>
      <c r="L139">
        <v>1</v>
      </c>
      <c r="M139" t="b">
        <v>0</v>
      </c>
      <c r="N139" t="b">
        <f t="shared" si="2"/>
        <v>0</v>
      </c>
    </row>
    <row r="140" spans="1:14" x14ac:dyDescent="0.25">
      <c r="A140">
        <v>128</v>
      </c>
      <c r="B140" s="1" t="s">
        <v>169</v>
      </c>
      <c r="C140" s="1" t="s">
        <v>42</v>
      </c>
      <c r="D140" s="1" t="s">
        <v>21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  <c r="N140" t="b">
        <f t="shared" si="2"/>
        <v>0</v>
      </c>
    </row>
    <row r="141" spans="1:14" x14ac:dyDescent="0.25">
      <c r="A141">
        <v>129</v>
      </c>
      <c r="B141" s="1" t="s">
        <v>170</v>
      </c>
      <c r="C141" s="1" t="s">
        <v>29</v>
      </c>
      <c r="D141" s="1" t="s">
        <v>21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  <c r="N141" t="b">
        <f t="shared" si="2"/>
        <v>0</v>
      </c>
    </row>
    <row r="142" spans="1:14" x14ac:dyDescent="0.25">
      <c r="A142">
        <v>130</v>
      </c>
      <c r="B142" s="1" t="s">
        <v>171</v>
      </c>
      <c r="C142" s="1" t="s">
        <v>29</v>
      </c>
      <c r="D142" s="1" t="s">
        <v>172</v>
      </c>
      <c r="E142">
        <v>640</v>
      </c>
      <c r="F142">
        <v>95</v>
      </c>
      <c r="G142">
        <v>155</v>
      </c>
      <c r="H142">
        <v>109</v>
      </c>
      <c r="I142">
        <v>70</v>
      </c>
      <c r="J142">
        <v>130</v>
      </c>
      <c r="K142">
        <v>81</v>
      </c>
      <c r="L142">
        <v>1</v>
      </c>
      <c r="M142" t="b">
        <v>0</v>
      </c>
      <c r="N142" t="b">
        <f t="shared" si="2"/>
        <v>1</v>
      </c>
    </row>
    <row r="143" spans="1:14" x14ac:dyDescent="0.25">
      <c r="A143">
        <v>130</v>
      </c>
      <c r="B143" s="1" t="s">
        <v>173</v>
      </c>
      <c r="C143" s="1" t="s">
        <v>29</v>
      </c>
      <c r="D143" s="1" t="s">
        <v>24</v>
      </c>
      <c r="E143">
        <v>540</v>
      </c>
      <c r="F143">
        <v>95</v>
      </c>
      <c r="G143">
        <v>125</v>
      </c>
      <c r="H143">
        <v>79</v>
      </c>
      <c r="I143">
        <v>60</v>
      </c>
      <c r="J143">
        <v>100</v>
      </c>
      <c r="K143">
        <v>81</v>
      </c>
      <c r="L143">
        <v>1</v>
      </c>
      <c r="M143" t="b">
        <v>0</v>
      </c>
      <c r="N143" t="b">
        <f t="shared" si="2"/>
        <v>0</v>
      </c>
    </row>
    <row r="144" spans="1:14" x14ac:dyDescent="0.25">
      <c r="A144">
        <v>131</v>
      </c>
      <c r="B144" s="1" t="s">
        <v>174</v>
      </c>
      <c r="C144" s="1" t="s">
        <v>29</v>
      </c>
      <c r="D144" s="1" t="s">
        <v>124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  <c r="N144" t="b">
        <f t="shared" si="2"/>
        <v>0</v>
      </c>
    </row>
    <row r="145" spans="1:14" x14ac:dyDescent="0.25">
      <c r="A145">
        <v>132</v>
      </c>
      <c r="B145" s="1" t="s">
        <v>175</v>
      </c>
      <c r="C145" s="1" t="s">
        <v>42</v>
      </c>
      <c r="D145" s="1" t="s">
        <v>21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  <c r="N145" t="b">
        <f t="shared" si="2"/>
        <v>0</v>
      </c>
    </row>
    <row r="146" spans="1:14" x14ac:dyDescent="0.25">
      <c r="A146">
        <v>133</v>
      </c>
      <c r="B146" s="1" t="s">
        <v>176</v>
      </c>
      <c r="C146" s="1" t="s">
        <v>42</v>
      </c>
      <c r="D146" s="1" t="s">
        <v>21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  <c r="N146" t="b">
        <f t="shared" si="2"/>
        <v>0</v>
      </c>
    </row>
    <row r="147" spans="1:14" x14ac:dyDescent="0.25">
      <c r="A147">
        <v>134</v>
      </c>
      <c r="B147" s="1" t="s">
        <v>177</v>
      </c>
      <c r="C147" s="1" t="s">
        <v>29</v>
      </c>
      <c r="D147" s="1" t="s">
        <v>21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  <c r="N147" t="b">
        <f t="shared" si="2"/>
        <v>0</v>
      </c>
    </row>
    <row r="148" spans="1:14" x14ac:dyDescent="0.25">
      <c r="A148">
        <v>135</v>
      </c>
      <c r="B148" s="1" t="s">
        <v>178</v>
      </c>
      <c r="C148" s="1" t="s">
        <v>53</v>
      </c>
      <c r="D148" s="1" t="s">
        <v>21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  <c r="N148" t="b">
        <f t="shared" si="2"/>
        <v>0</v>
      </c>
    </row>
    <row r="149" spans="1:14" x14ac:dyDescent="0.25">
      <c r="A149">
        <v>136</v>
      </c>
      <c r="B149" s="1" t="s">
        <v>179</v>
      </c>
      <c r="C149" s="1" t="s">
        <v>20</v>
      </c>
      <c r="D149" s="1" t="s">
        <v>21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  <c r="N149" t="b">
        <f t="shared" si="2"/>
        <v>0</v>
      </c>
    </row>
    <row r="150" spans="1:14" x14ac:dyDescent="0.25">
      <c r="A150">
        <v>137</v>
      </c>
      <c r="B150" s="1" t="s">
        <v>180</v>
      </c>
      <c r="C150" s="1" t="s">
        <v>42</v>
      </c>
      <c r="D150" s="1" t="s">
        <v>21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  <c r="N150" t="b">
        <f t="shared" si="2"/>
        <v>0</v>
      </c>
    </row>
    <row r="151" spans="1:14" x14ac:dyDescent="0.25">
      <c r="A151">
        <v>138</v>
      </c>
      <c r="B151" s="1" t="s">
        <v>181</v>
      </c>
      <c r="C151" s="1" t="s">
        <v>108</v>
      </c>
      <c r="D151" s="1" t="s">
        <v>29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  <c r="N151" t="b">
        <f t="shared" si="2"/>
        <v>0</v>
      </c>
    </row>
    <row r="152" spans="1:14" x14ac:dyDescent="0.25">
      <c r="A152">
        <v>139</v>
      </c>
      <c r="B152" s="1" t="s">
        <v>182</v>
      </c>
      <c r="C152" s="1" t="s">
        <v>108</v>
      </c>
      <c r="D152" s="1" t="s">
        <v>29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  <c r="N152" t="b">
        <f t="shared" si="2"/>
        <v>0</v>
      </c>
    </row>
    <row r="153" spans="1:14" x14ac:dyDescent="0.25">
      <c r="A153">
        <v>140</v>
      </c>
      <c r="B153" s="1" t="s">
        <v>183</v>
      </c>
      <c r="C153" s="1" t="s">
        <v>108</v>
      </c>
      <c r="D153" s="1" t="s">
        <v>29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  <c r="N153" t="b">
        <f t="shared" si="2"/>
        <v>0</v>
      </c>
    </row>
    <row r="154" spans="1:14" x14ac:dyDescent="0.25">
      <c r="A154">
        <v>141</v>
      </c>
      <c r="B154" s="1" t="s">
        <v>184</v>
      </c>
      <c r="C154" s="1" t="s">
        <v>108</v>
      </c>
      <c r="D154" s="1" t="s">
        <v>29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  <c r="N154" t="b">
        <f t="shared" si="2"/>
        <v>0</v>
      </c>
    </row>
    <row r="155" spans="1:14" x14ac:dyDescent="0.25">
      <c r="A155">
        <v>142</v>
      </c>
      <c r="B155" s="1" t="s">
        <v>185</v>
      </c>
      <c r="C155" s="1" t="s">
        <v>108</v>
      </c>
      <c r="D155" s="1" t="s">
        <v>24</v>
      </c>
      <c r="E155">
        <v>615</v>
      </c>
      <c r="F155">
        <v>80</v>
      </c>
      <c r="G155">
        <v>135</v>
      </c>
      <c r="H155">
        <v>85</v>
      </c>
      <c r="I155">
        <v>70</v>
      </c>
      <c r="J155">
        <v>95</v>
      </c>
      <c r="K155">
        <v>150</v>
      </c>
      <c r="L155">
        <v>1</v>
      </c>
      <c r="M155" t="b">
        <v>0</v>
      </c>
      <c r="N155" t="b">
        <f t="shared" si="2"/>
        <v>1</v>
      </c>
    </row>
    <row r="156" spans="1:14" x14ac:dyDescent="0.25">
      <c r="A156">
        <v>142</v>
      </c>
      <c r="B156" s="1" t="s">
        <v>186</v>
      </c>
      <c r="C156" s="1" t="s">
        <v>108</v>
      </c>
      <c r="D156" s="1" t="s">
        <v>24</v>
      </c>
      <c r="E156">
        <v>515</v>
      </c>
      <c r="F156">
        <v>80</v>
      </c>
      <c r="G156">
        <v>105</v>
      </c>
      <c r="H156">
        <v>65</v>
      </c>
      <c r="I156">
        <v>60</v>
      </c>
      <c r="J156">
        <v>75</v>
      </c>
      <c r="K156">
        <v>130</v>
      </c>
      <c r="L156">
        <v>1</v>
      </c>
      <c r="M156" t="b">
        <v>0</v>
      </c>
      <c r="N156" t="b">
        <f t="shared" si="2"/>
        <v>0</v>
      </c>
    </row>
    <row r="157" spans="1:14" x14ac:dyDescent="0.25">
      <c r="A157">
        <v>143</v>
      </c>
      <c r="B157" s="1" t="s">
        <v>187</v>
      </c>
      <c r="C157" s="1" t="s">
        <v>42</v>
      </c>
      <c r="D157" s="1" t="s">
        <v>21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  <c r="N157" t="b">
        <f t="shared" si="2"/>
        <v>0</v>
      </c>
    </row>
    <row r="158" spans="1:14" x14ac:dyDescent="0.25">
      <c r="A158">
        <v>144</v>
      </c>
      <c r="B158" s="1" t="s">
        <v>188</v>
      </c>
      <c r="C158" s="1" t="s">
        <v>124</v>
      </c>
      <c r="D158" s="1" t="s">
        <v>24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  <c r="N158" t="b">
        <f t="shared" si="2"/>
        <v>0</v>
      </c>
    </row>
    <row r="159" spans="1:14" x14ac:dyDescent="0.25">
      <c r="A159">
        <v>145</v>
      </c>
      <c r="B159" s="1" t="s">
        <v>189</v>
      </c>
      <c r="C159" s="1" t="s">
        <v>53</v>
      </c>
      <c r="D159" s="1" t="s">
        <v>24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  <c r="N159" t="b">
        <f t="shared" si="2"/>
        <v>0</v>
      </c>
    </row>
    <row r="160" spans="1:14" x14ac:dyDescent="0.25">
      <c r="A160">
        <v>146</v>
      </c>
      <c r="B160" s="1" t="s">
        <v>190</v>
      </c>
      <c r="C160" s="1" t="s">
        <v>20</v>
      </c>
      <c r="D160" s="1" t="s">
        <v>24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  <c r="N160" t="b">
        <f t="shared" si="2"/>
        <v>0</v>
      </c>
    </row>
    <row r="161" spans="1:14" x14ac:dyDescent="0.25">
      <c r="A161">
        <v>147</v>
      </c>
      <c r="B161" s="1" t="s">
        <v>191</v>
      </c>
      <c r="C161" s="1" t="s">
        <v>26</v>
      </c>
      <c r="D161" s="1" t="s">
        <v>21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  <c r="N161" t="b">
        <f t="shared" si="2"/>
        <v>0</v>
      </c>
    </row>
    <row r="162" spans="1:14" x14ac:dyDescent="0.25">
      <c r="A162">
        <v>148</v>
      </c>
      <c r="B162" s="1" t="s">
        <v>192</v>
      </c>
      <c r="C162" s="1" t="s">
        <v>26</v>
      </c>
      <c r="D162" s="1" t="s">
        <v>21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  <c r="N162" t="b">
        <f t="shared" si="2"/>
        <v>0</v>
      </c>
    </row>
    <row r="163" spans="1:14" x14ac:dyDescent="0.25">
      <c r="A163">
        <v>149</v>
      </c>
      <c r="B163" s="1" t="s">
        <v>193</v>
      </c>
      <c r="C163" s="1" t="s">
        <v>26</v>
      </c>
      <c r="D163" s="1" t="s">
        <v>24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  <c r="N163" t="b">
        <f t="shared" si="2"/>
        <v>0</v>
      </c>
    </row>
    <row r="164" spans="1:14" x14ac:dyDescent="0.25">
      <c r="A164">
        <v>150</v>
      </c>
      <c r="B164" s="1" t="s">
        <v>194</v>
      </c>
      <c r="C164" s="1" t="s">
        <v>95</v>
      </c>
      <c r="D164" s="1" t="s">
        <v>87</v>
      </c>
      <c r="E164">
        <v>780</v>
      </c>
      <c r="F164">
        <v>106</v>
      </c>
      <c r="G164">
        <v>190</v>
      </c>
      <c r="H164">
        <v>100</v>
      </c>
      <c r="I164">
        <v>154</v>
      </c>
      <c r="J164">
        <v>100</v>
      </c>
      <c r="K164">
        <v>130</v>
      </c>
      <c r="L164">
        <v>1</v>
      </c>
      <c r="M164" t="b">
        <v>1</v>
      </c>
      <c r="N164" t="b">
        <f t="shared" si="2"/>
        <v>1</v>
      </c>
    </row>
    <row r="165" spans="1:14" x14ac:dyDescent="0.25">
      <c r="A165">
        <v>150</v>
      </c>
      <c r="B165" s="1" t="s">
        <v>195</v>
      </c>
      <c r="C165" s="1" t="s">
        <v>95</v>
      </c>
      <c r="D165" s="1" t="s">
        <v>21</v>
      </c>
      <c r="E165">
        <v>780</v>
      </c>
      <c r="F165">
        <v>106</v>
      </c>
      <c r="G165">
        <v>150</v>
      </c>
      <c r="H165">
        <v>70</v>
      </c>
      <c r="I165">
        <v>194</v>
      </c>
      <c r="J165">
        <v>120</v>
      </c>
      <c r="K165">
        <v>140</v>
      </c>
      <c r="L165">
        <v>1</v>
      </c>
      <c r="M165" t="b">
        <v>1</v>
      </c>
      <c r="N165" t="b">
        <f t="shared" si="2"/>
        <v>1</v>
      </c>
    </row>
    <row r="166" spans="1:14" x14ac:dyDescent="0.25">
      <c r="A166">
        <v>150</v>
      </c>
      <c r="B166" s="1" t="s">
        <v>196</v>
      </c>
      <c r="C166" s="1" t="s">
        <v>95</v>
      </c>
      <c r="D166" s="1" t="s">
        <v>21</v>
      </c>
      <c r="E166">
        <v>680</v>
      </c>
      <c r="F166">
        <v>106</v>
      </c>
      <c r="G166">
        <v>110</v>
      </c>
      <c r="H166">
        <v>90</v>
      </c>
      <c r="I166">
        <v>154</v>
      </c>
      <c r="J166">
        <v>90</v>
      </c>
      <c r="K166">
        <v>130</v>
      </c>
      <c r="L166">
        <v>1</v>
      </c>
      <c r="M166" t="b">
        <v>1</v>
      </c>
      <c r="N166" t="b">
        <f t="shared" si="2"/>
        <v>0</v>
      </c>
    </row>
    <row r="167" spans="1:14" x14ac:dyDescent="0.25">
      <c r="A167">
        <v>151</v>
      </c>
      <c r="B167" s="1" t="s">
        <v>197</v>
      </c>
      <c r="C167" s="1" t="s">
        <v>95</v>
      </c>
      <c r="D167" s="1" t="s">
        <v>21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  <c r="N167" t="b">
        <f t="shared" si="2"/>
        <v>0</v>
      </c>
    </row>
    <row r="168" spans="1:14" x14ac:dyDescent="0.25">
      <c r="A168">
        <v>152</v>
      </c>
      <c r="B168" s="1" t="s">
        <v>198</v>
      </c>
      <c r="C168" s="1" t="s">
        <v>14</v>
      </c>
      <c r="D168" s="1" t="s">
        <v>21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  <c r="N168" t="b">
        <f t="shared" si="2"/>
        <v>0</v>
      </c>
    </row>
    <row r="169" spans="1:14" x14ac:dyDescent="0.25">
      <c r="A169">
        <v>153</v>
      </c>
      <c r="B169" s="1" t="s">
        <v>199</v>
      </c>
      <c r="C169" s="1" t="s">
        <v>14</v>
      </c>
      <c r="D169" s="1" t="s">
        <v>21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  <c r="N169" t="b">
        <f t="shared" si="2"/>
        <v>0</v>
      </c>
    </row>
    <row r="170" spans="1:14" x14ac:dyDescent="0.25">
      <c r="A170">
        <v>154</v>
      </c>
      <c r="B170" s="1" t="s">
        <v>200</v>
      </c>
      <c r="C170" s="1" t="s">
        <v>14</v>
      </c>
      <c r="D170" s="1" t="s">
        <v>21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  <c r="N170" t="b">
        <f t="shared" si="2"/>
        <v>1</v>
      </c>
    </row>
    <row r="171" spans="1:14" x14ac:dyDescent="0.25">
      <c r="A171">
        <v>155</v>
      </c>
      <c r="B171" s="1" t="s">
        <v>201</v>
      </c>
      <c r="C171" s="1" t="s">
        <v>20</v>
      </c>
      <c r="D171" s="1" t="s">
        <v>21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  <c r="N171" t="b">
        <f t="shared" si="2"/>
        <v>0</v>
      </c>
    </row>
    <row r="172" spans="1:14" x14ac:dyDescent="0.25">
      <c r="A172">
        <v>156</v>
      </c>
      <c r="B172" s="1" t="s">
        <v>202</v>
      </c>
      <c r="C172" s="1" t="s">
        <v>20</v>
      </c>
      <c r="D172" s="1" t="s">
        <v>21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  <c r="N172" t="b">
        <f t="shared" si="2"/>
        <v>0</v>
      </c>
    </row>
    <row r="173" spans="1:14" x14ac:dyDescent="0.25">
      <c r="A173">
        <v>157</v>
      </c>
      <c r="B173" s="1" t="s">
        <v>203</v>
      </c>
      <c r="C173" s="1" t="s">
        <v>20</v>
      </c>
      <c r="D173" s="1" t="s">
        <v>21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  <c r="N173" t="b">
        <f t="shared" si="2"/>
        <v>0</v>
      </c>
    </row>
    <row r="174" spans="1:14" x14ac:dyDescent="0.25">
      <c r="A174">
        <v>158</v>
      </c>
      <c r="B174" s="1" t="s">
        <v>204</v>
      </c>
      <c r="C174" s="1" t="s">
        <v>29</v>
      </c>
      <c r="D174" s="1" t="s">
        <v>21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  <c r="N174" t="b">
        <f t="shared" si="2"/>
        <v>0</v>
      </c>
    </row>
    <row r="175" spans="1:14" x14ac:dyDescent="0.25">
      <c r="A175">
        <v>159</v>
      </c>
      <c r="B175" s="1" t="s">
        <v>205</v>
      </c>
      <c r="C175" s="1" t="s">
        <v>29</v>
      </c>
      <c r="D175" s="1" t="s">
        <v>21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  <c r="N175" t="b">
        <f t="shared" si="2"/>
        <v>0</v>
      </c>
    </row>
    <row r="176" spans="1:14" x14ac:dyDescent="0.25">
      <c r="A176">
        <v>160</v>
      </c>
      <c r="B176" s="1" t="s">
        <v>206</v>
      </c>
      <c r="C176" s="1" t="s">
        <v>29</v>
      </c>
      <c r="D176" s="1" t="s">
        <v>21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  <c r="N176" t="b">
        <f t="shared" si="2"/>
        <v>0</v>
      </c>
    </row>
    <row r="177" spans="1:14" x14ac:dyDescent="0.25">
      <c r="A177">
        <v>161</v>
      </c>
      <c r="B177" s="1" t="s">
        <v>207</v>
      </c>
      <c r="C177" s="1" t="s">
        <v>42</v>
      </c>
      <c r="D177" s="1" t="s">
        <v>21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  <c r="N177" t="b">
        <f t="shared" si="2"/>
        <v>0</v>
      </c>
    </row>
    <row r="178" spans="1:14" x14ac:dyDescent="0.25">
      <c r="A178">
        <v>162</v>
      </c>
      <c r="B178" s="1" t="s">
        <v>208</v>
      </c>
      <c r="C178" s="1" t="s">
        <v>42</v>
      </c>
      <c r="D178" s="1" t="s">
        <v>21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  <c r="N178" t="b">
        <f t="shared" si="2"/>
        <v>0</v>
      </c>
    </row>
    <row r="179" spans="1:14" x14ac:dyDescent="0.25">
      <c r="A179">
        <v>163</v>
      </c>
      <c r="B179" s="1" t="s">
        <v>209</v>
      </c>
      <c r="C179" s="1" t="s">
        <v>42</v>
      </c>
      <c r="D179" s="1" t="s">
        <v>24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  <c r="N179" t="b">
        <f t="shared" si="2"/>
        <v>0</v>
      </c>
    </row>
    <row r="180" spans="1:14" x14ac:dyDescent="0.25">
      <c r="A180">
        <v>164</v>
      </c>
      <c r="B180" s="1" t="s">
        <v>210</v>
      </c>
      <c r="C180" s="1" t="s">
        <v>42</v>
      </c>
      <c r="D180" s="1" t="s">
        <v>24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  <c r="N180" t="b">
        <f t="shared" si="2"/>
        <v>0</v>
      </c>
    </row>
    <row r="181" spans="1:14" x14ac:dyDescent="0.25">
      <c r="A181">
        <v>165</v>
      </c>
      <c r="B181" s="1" t="s">
        <v>211</v>
      </c>
      <c r="C181" s="1" t="s">
        <v>34</v>
      </c>
      <c r="D181" s="1" t="s">
        <v>24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  <c r="N181" t="b">
        <f t="shared" si="2"/>
        <v>0</v>
      </c>
    </row>
    <row r="182" spans="1:14" x14ac:dyDescent="0.25">
      <c r="A182">
        <v>166</v>
      </c>
      <c r="B182" s="1" t="s">
        <v>212</v>
      </c>
      <c r="C182" s="1" t="s">
        <v>34</v>
      </c>
      <c r="D182" s="1" t="s">
        <v>24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  <c r="N182" t="b">
        <f t="shared" si="2"/>
        <v>0</v>
      </c>
    </row>
    <row r="183" spans="1:14" x14ac:dyDescent="0.25">
      <c r="A183">
        <v>167</v>
      </c>
      <c r="B183" s="1" t="s">
        <v>213</v>
      </c>
      <c r="C183" s="1" t="s">
        <v>34</v>
      </c>
      <c r="D183" s="1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  <c r="N183" t="b">
        <f t="shared" si="2"/>
        <v>0</v>
      </c>
    </row>
    <row r="184" spans="1:14" x14ac:dyDescent="0.25">
      <c r="A184">
        <v>168</v>
      </c>
      <c r="B184" s="1" t="s">
        <v>214</v>
      </c>
      <c r="C184" s="1" t="s">
        <v>34</v>
      </c>
      <c r="D184" s="1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  <c r="N184" t="b">
        <f t="shared" si="2"/>
        <v>0</v>
      </c>
    </row>
    <row r="185" spans="1:14" x14ac:dyDescent="0.25">
      <c r="A185">
        <v>169</v>
      </c>
      <c r="B185" s="1" t="s">
        <v>215</v>
      </c>
      <c r="C185" s="1" t="s">
        <v>15</v>
      </c>
      <c r="D185" s="1" t="s">
        <v>24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  <c r="N185" t="b">
        <f t="shared" si="2"/>
        <v>0</v>
      </c>
    </row>
    <row r="186" spans="1:14" x14ac:dyDescent="0.25">
      <c r="A186">
        <v>170</v>
      </c>
      <c r="B186" s="1" t="s">
        <v>216</v>
      </c>
      <c r="C186" s="1" t="s">
        <v>29</v>
      </c>
      <c r="D186" s="1" t="s">
        <v>53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  <c r="N186" t="b">
        <f t="shared" si="2"/>
        <v>0</v>
      </c>
    </row>
    <row r="187" spans="1:14" x14ac:dyDescent="0.25">
      <c r="A187">
        <v>171</v>
      </c>
      <c r="B187" s="1" t="s">
        <v>217</v>
      </c>
      <c r="C187" s="1" t="s">
        <v>29</v>
      </c>
      <c r="D187" s="1" t="s">
        <v>53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  <c r="N187" t="b">
        <f t="shared" si="2"/>
        <v>0</v>
      </c>
    </row>
    <row r="188" spans="1:14" x14ac:dyDescent="0.25">
      <c r="A188">
        <v>172</v>
      </c>
      <c r="B188" s="1" t="s">
        <v>218</v>
      </c>
      <c r="C188" s="1" t="s">
        <v>53</v>
      </c>
      <c r="D188" s="1" t="s">
        <v>21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  <c r="N188" t="b">
        <f t="shared" si="2"/>
        <v>0</v>
      </c>
    </row>
    <row r="189" spans="1:14" x14ac:dyDescent="0.25">
      <c r="A189">
        <v>173</v>
      </c>
      <c r="B189" s="1" t="s">
        <v>219</v>
      </c>
      <c r="C189" s="1" t="s">
        <v>65</v>
      </c>
      <c r="D189" s="1" t="s">
        <v>21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  <c r="N189" t="b">
        <f t="shared" si="2"/>
        <v>0</v>
      </c>
    </row>
    <row r="190" spans="1:14" x14ac:dyDescent="0.25">
      <c r="A190">
        <v>174</v>
      </c>
      <c r="B190" s="1" t="s">
        <v>220</v>
      </c>
      <c r="C190" s="1" t="s">
        <v>42</v>
      </c>
      <c r="D190" s="1" t="s">
        <v>65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  <c r="N190" t="b">
        <f t="shared" si="2"/>
        <v>0</v>
      </c>
    </row>
    <row r="191" spans="1:14" x14ac:dyDescent="0.25">
      <c r="A191">
        <v>175</v>
      </c>
      <c r="B191" s="1" t="s">
        <v>221</v>
      </c>
      <c r="C191" s="1" t="s">
        <v>65</v>
      </c>
      <c r="D191" s="1" t="s">
        <v>21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  <c r="N191" t="b">
        <f t="shared" si="2"/>
        <v>0</v>
      </c>
    </row>
    <row r="192" spans="1:14" x14ac:dyDescent="0.25">
      <c r="A192">
        <v>176</v>
      </c>
      <c r="B192" s="1" t="s">
        <v>222</v>
      </c>
      <c r="C192" s="1" t="s">
        <v>65</v>
      </c>
      <c r="D192" s="1" t="s">
        <v>24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  <c r="N192" t="b">
        <f t="shared" si="2"/>
        <v>0</v>
      </c>
    </row>
    <row r="193" spans="1:14" x14ac:dyDescent="0.25">
      <c r="A193">
        <v>177</v>
      </c>
      <c r="B193" s="1" t="s">
        <v>223</v>
      </c>
      <c r="C193" s="1" t="s">
        <v>95</v>
      </c>
      <c r="D193" s="1" t="s">
        <v>24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  <c r="N193" t="b">
        <f t="shared" si="2"/>
        <v>0</v>
      </c>
    </row>
    <row r="194" spans="1:14" x14ac:dyDescent="0.25">
      <c r="A194">
        <v>178</v>
      </c>
      <c r="B194" s="1" t="s">
        <v>224</v>
      </c>
      <c r="C194" s="1" t="s">
        <v>95</v>
      </c>
      <c r="D194" s="1" t="s">
        <v>24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  <c r="N194" t="b">
        <f t="shared" ref="N194:N257" si="3">COUNTIF(B194,"*Mega*")&gt;0</f>
        <v>0</v>
      </c>
    </row>
    <row r="195" spans="1:14" x14ac:dyDescent="0.25">
      <c r="A195">
        <v>179</v>
      </c>
      <c r="B195" s="1" t="s">
        <v>225</v>
      </c>
      <c r="C195" s="1" t="s">
        <v>53</v>
      </c>
      <c r="D195" s="1" t="s">
        <v>21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  <c r="N195" t="b">
        <f t="shared" si="3"/>
        <v>0</v>
      </c>
    </row>
    <row r="196" spans="1:14" x14ac:dyDescent="0.25">
      <c r="A196">
        <v>180</v>
      </c>
      <c r="B196" s="1" t="s">
        <v>226</v>
      </c>
      <c r="C196" s="1" t="s">
        <v>53</v>
      </c>
      <c r="D196" s="1" t="s">
        <v>21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  <c r="N196" t="b">
        <f t="shared" si="3"/>
        <v>0</v>
      </c>
    </row>
    <row r="197" spans="1:14" x14ac:dyDescent="0.25">
      <c r="A197">
        <v>181</v>
      </c>
      <c r="B197" s="1" t="s">
        <v>227</v>
      </c>
      <c r="C197" s="1" t="s">
        <v>53</v>
      </c>
      <c r="D197" s="1" t="s">
        <v>26</v>
      </c>
      <c r="E197">
        <v>610</v>
      </c>
      <c r="F197">
        <v>90</v>
      </c>
      <c r="G197">
        <v>95</v>
      </c>
      <c r="H197">
        <v>105</v>
      </c>
      <c r="I197">
        <v>165</v>
      </c>
      <c r="J197">
        <v>110</v>
      </c>
      <c r="K197">
        <v>45</v>
      </c>
      <c r="L197">
        <v>2</v>
      </c>
      <c r="M197" t="b">
        <v>0</v>
      </c>
      <c r="N197" t="b">
        <f t="shared" si="3"/>
        <v>1</v>
      </c>
    </row>
    <row r="198" spans="1:14" x14ac:dyDescent="0.25">
      <c r="A198">
        <v>181</v>
      </c>
      <c r="B198" s="1" t="s">
        <v>228</v>
      </c>
      <c r="C198" s="1" t="s">
        <v>53</v>
      </c>
      <c r="D198" s="1" t="s">
        <v>21</v>
      </c>
      <c r="E198">
        <v>510</v>
      </c>
      <c r="F198">
        <v>90</v>
      </c>
      <c r="G198">
        <v>75</v>
      </c>
      <c r="H198">
        <v>85</v>
      </c>
      <c r="I198">
        <v>115</v>
      </c>
      <c r="J198">
        <v>90</v>
      </c>
      <c r="K198">
        <v>55</v>
      </c>
      <c r="L198">
        <v>2</v>
      </c>
      <c r="M198" t="b">
        <v>0</v>
      </c>
      <c r="N198" t="b">
        <f t="shared" si="3"/>
        <v>0</v>
      </c>
    </row>
    <row r="199" spans="1:14" x14ac:dyDescent="0.25">
      <c r="A199">
        <v>182</v>
      </c>
      <c r="B199" s="1" t="s">
        <v>229</v>
      </c>
      <c r="C199" s="1" t="s">
        <v>14</v>
      </c>
      <c r="D199" s="1" t="s">
        <v>21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  <c r="N199" t="b">
        <f t="shared" si="3"/>
        <v>0</v>
      </c>
    </row>
    <row r="200" spans="1:14" x14ac:dyDescent="0.25">
      <c r="A200">
        <v>183</v>
      </c>
      <c r="B200" s="1" t="s">
        <v>230</v>
      </c>
      <c r="C200" s="1" t="s">
        <v>29</v>
      </c>
      <c r="D200" s="1" t="s">
        <v>65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  <c r="N200" t="b">
        <f t="shared" si="3"/>
        <v>0</v>
      </c>
    </row>
    <row r="201" spans="1:14" x14ac:dyDescent="0.25">
      <c r="A201">
        <v>184</v>
      </c>
      <c r="B201" s="1" t="s">
        <v>231</v>
      </c>
      <c r="C201" s="1" t="s">
        <v>29</v>
      </c>
      <c r="D201" s="1" t="s">
        <v>65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  <c r="N201" t="b">
        <f t="shared" si="3"/>
        <v>0</v>
      </c>
    </row>
    <row r="202" spans="1:14" x14ac:dyDescent="0.25">
      <c r="A202">
        <v>185</v>
      </c>
      <c r="B202" s="1" t="s">
        <v>232</v>
      </c>
      <c r="C202" s="1" t="s">
        <v>108</v>
      </c>
      <c r="D202" s="1" t="s">
        <v>21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  <c r="N202" t="b">
        <f t="shared" si="3"/>
        <v>0</v>
      </c>
    </row>
    <row r="203" spans="1:14" x14ac:dyDescent="0.25">
      <c r="A203">
        <v>186</v>
      </c>
      <c r="B203" s="1" t="s">
        <v>233</v>
      </c>
      <c r="C203" s="1" t="s">
        <v>29</v>
      </c>
      <c r="D203" s="1" t="s">
        <v>21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  <c r="N203" t="b">
        <f t="shared" si="3"/>
        <v>0</v>
      </c>
    </row>
    <row r="204" spans="1:14" x14ac:dyDescent="0.25">
      <c r="A204">
        <v>187</v>
      </c>
      <c r="B204" s="1" t="s">
        <v>234</v>
      </c>
      <c r="C204" s="1" t="s">
        <v>14</v>
      </c>
      <c r="D204" s="1" t="s">
        <v>24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  <c r="N204" t="b">
        <f t="shared" si="3"/>
        <v>0</v>
      </c>
    </row>
    <row r="205" spans="1:14" x14ac:dyDescent="0.25">
      <c r="A205">
        <v>188</v>
      </c>
      <c r="B205" s="1" t="s">
        <v>235</v>
      </c>
      <c r="C205" s="1" t="s">
        <v>14</v>
      </c>
      <c r="D205" s="1" t="s">
        <v>24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  <c r="N205" t="b">
        <f t="shared" si="3"/>
        <v>0</v>
      </c>
    </row>
    <row r="206" spans="1:14" x14ac:dyDescent="0.25">
      <c r="A206">
        <v>189</v>
      </c>
      <c r="B206" s="1" t="s">
        <v>236</v>
      </c>
      <c r="C206" s="1" t="s">
        <v>14</v>
      </c>
      <c r="D206" s="1" t="s">
        <v>24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  <c r="N206" t="b">
        <f t="shared" si="3"/>
        <v>0</v>
      </c>
    </row>
    <row r="207" spans="1:14" x14ac:dyDescent="0.25">
      <c r="A207">
        <v>190</v>
      </c>
      <c r="B207" s="1" t="s">
        <v>237</v>
      </c>
      <c r="C207" s="1" t="s">
        <v>42</v>
      </c>
      <c r="D207" s="1" t="s">
        <v>21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  <c r="N207" t="b">
        <f t="shared" si="3"/>
        <v>0</v>
      </c>
    </row>
    <row r="208" spans="1:14" x14ac:dyDescent="0.25">
      <c r="A208">
        <v>191</v>
      </c>
      <c r="B208" s="1" t="s">
        <v>238</v>
      </c>
      <c r="C208" s="1" t="s">
        <v>14</v>
      </c>
      <c r="D208" s="1" t="s">
        <v>21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  <c r="N208" t="b">
        <f t="shared" si="3"/>
        <v>0</v>
      </c>
    </row>
    <row r="209" spans="1:14" x14ac:dyDescent="0.25">
      <c r="A209">
        <v>192</v>
      </c>
      <c r="B209" s="1" t="s">
        <v>239</v>
      </c>
      <c r="C209" s="1" t="s">
        <v>14</v>
      </c>
      <c r="D209" s="1" t="s">
        <v>21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  <c r="N209" t="b">
        <f t="shared" si="3"/>
        <v>0</v>
      </c>
    </row>
    <row r="210" spans="1:14" x14ac:dyDescent="0.25">
      <c r="A210">
        <v>193</v>
      </c>
      <c r="B210" s="1" t="s">
        <v>240</v>
      </c>
      <c r="C210" s="1" t="s">
        <v>34</v>
      </c>
      <c r="D210" s="1" t="s">
        <v>24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  <c r="N210" t="b">
        <f t="shared" si="3"/>
        <v>0</v>
      </c>
    </row>
    <row r="211" spans="1:14" x14ac:dyDescent="0.25">
      <c r="A211">
        <v>194</v>
      </c>
      <c r="B211" s="1" t="s">
        <v>241</v>
      </c>
      <c r="C211" s="1" t="s">
        <v>29</v>
      </c>
      <c r="D211" s="1" t="s">
        <v>56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  <c r="N211" t="b">
        <f t="shared" si="3"/>
        <v>0</v>
      </c>
    </row>
    <row r="212" spans="1:14" x14ac:dyDescent="0.25">
      <c r="A212">
        <v>195</v>
      </c>
      <c r="B212" s="1" t="s">
        <v>242</v>
      </c>
      <c r="C212" s="1" t="s">
        <v>29</v>
      </c>
      <c r="D212" s="1" t="s">
        <v>56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  <c r="N212" t="b">
        <f t="shared" si="3"/>
        <v>0</v>
      </c>
    </row>
    <row r="213" spans="1:14" x14ac:dyDescent="0.25">
      <c r="A213">
        <v>196</v>
      </c>
      <c r="B213" s="1" t="s">
        <v>243</v>
      </c>
      <c r="C213" s="1" t="s">
        <v>95</v>
      </c>
      <c r="D213" s="1" t="s">
        <v>21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  <c r="N213" t="b">
        <f t="shared" si="3"/>
        <v>0</v>
      </c>
    </row>
    <row r="214" spans="1:14" x14ac:dyDescent="0.25">
      <c r="A214">
        <v>197</v>
      </c>
      <c r="B214" s="1" t="s">
        <v>244</v>
      </c>
      <c r="C214" s="1" t="s">
        <v>172</v>
      </c>
      <c r="D214" s="1" t="s">
        <v>21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  <c r="N214" t="b">
        <f t="shared" si="3"/>
        <v>0</v>
      </c>
    </row>
    <row r="215" spans="1:14" x14ac:dyDescent="0.25">
      <c r="A215">
        <v>198</v>
      </c>
      <c r="B215" s="1" t="s">
        <v>245</v>
      </c>
      <c r="C215" s="1" t="s">
        <v>172</v>
      </c>
      <c r="D215" s="1" t="s">
        <v>24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  <c r="N215" t="b">
        <f t="shared" si="3"/>
        <v>0</v>
      </c>
    </row>
    <row r="216" spans="1:14" x14ac:dyDescent="0.25">
      <c r="A216">
        <v>199</v>
      </c>
      <c r="B216" s="1" t="s">
        <v>246</v>
      </c>
      <c r="C216" s="1" t="s">
        <v>29</v>
      </c>
      <c r="D216" s="1" t="s">
        <v>95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  <c r="N216" t="b">
        <f t="shared" si="3"/>
        <v>0</v>
      </c>
    </row>
    <row r="217" spans="1:14" x14ac:dyDescent="0.25">
      <c r="A217">
        <v>200</v>
      </c>
      <c r="B217" s="1" t="s">
        <v>247</v>
      </c>
      <c r="C217" s="1" t="s">
        <v>130</v>
      </c>
      <c r="D217" s="1" t="s">
        <v>21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  <c r="N217" t="b">
        <f t="shared" si="3"/>
        <v>0</v>
      </c>
    </row>
    <row r="218" spans="1:14" x14ac:dyDescent="0.25">
      <c r="A218">
        <v>201</v>
      </c>
      <c r="B218" s="1" t="s">
        <v>248</v>
      </c>
      <c r="C218" s="1" t="s">
        <v>95</v>
      </c>
      <c r="D218" s="1" t="s">
        <v>21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  <c r="N218" t="b">
        <f t="shared" si="3"/>
        <v>0</v>
      </c>
    </row>
    <row r="219" spans="1:14" x14ac:dyDescent="0.25">
      <c r="A219">
        <v>202</v>
      </c>
      <c r="B219" s="1" t="s">
        <v>249</v>
      </c>
      <c r="C219" s="1" t="s">
        <v>95</v>
      </c>
      <c r="D219" s="1" t="s">
        <v>21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  <c r="N219" t="b">
        <f t="shared" si="3"/>
        <v>0</v>
      </c>
    </row>
    <row r="220" spans="1:14" x14ac:dyDescent="0.25">
      <c r="A220">
        <v>203</v>
      </c>
      <c r="B220" s="1" t="s">
        <v>250</v>
      </c>
      <c r="C220" s="1" t="s">
        <v>42</v>
      </c>
      <c r="D220" s="1" t="s">
        <v>95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  <c r="N220" t="b">
        <f t="shared" si="3"/>
        <v>0</v>
      </c>
    </row>
    <row r="221" spans="1:14" x14ac:dyDescent="0.25">
      <c r="A221">
        <v>204</v>
      </c>
      <c r="B221" s="1" t="s">
        <v>251</v>
      </c>
      <c r="C221" s="1" t="s">
        <v>34</v>
      </c>
      <c r="D221" s="1" t="s">
        <v>21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  <c r="N221" t="b">
        <f t="shared" si="3"/>
        <v>0</v>
      </c>
    </row>
    <row r="222" spans="1:14" x14ac:dyDescent="0.25">
      <c r="A222">
        <v>205</v>
      </c>
      <c r="B222" s="1" t="s">
        <v>252</v>
      </c>
      <c r="C222" s="1" t="s">
        <v>34</v>
      </c>
      <c r="D222" s="1" t="s">
        <v>117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  <c r="N222" t="b">
        <f t="shared" si="3"/>
        <v>0</v>
      </c>
    </row>
    <row r="223" spans="1:14" x14ac:dyDescent="0.25">
      <c r="A223">
        <v>206</v>
      </c>
      <c r="B223" s="1" t="s">
        <v>253</v>
      </c>
      <c r="C223" s="1" t="s">
        <v>42</v>
      </c>
      <c r="D223" s="1" t="s">
        <v>21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  <c r="N223" t="b">
        <f t="shared" si="3"/>
        <v>0</v>
      </c>
    </row>
    <row r="224" spans="1:14" x14ac:dyDescent="0.25">
      <c r="A224">
        <v>207</v>
      </c>
      <c r="B224" s="1" t="s">
        <v>254</v>
      </c>
      <c r="C224" s="1" t="s">
        <v>56</v>
      </c>
      <c r="D224" s="1" t="s">
        <v>24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  <c r="N224" t="b">
        <f t="shared" si="3"/>
        <v>0</v>
      </c>
    </row>
    <row r="225" spans="1:14" x14ac:dyDescent="0.25">
      <c r="A225">
        <v>208</v>
      </c>
      <c r="B225" s="1" t="s">
        <v>255</v>
      </c>
      <c r="C225" s="1" t="s">
        <v>117</v>
      </c>
      <c r="D225" s="1" t="s">
        <v>56</v>
      </c>
      <c r="E225">
        <v>610</v>
      </c>
      <c r="F225">
        <v>75</v>
      </c>
      <c r="G225">
        <v>125</v>
      </c>
      <c r="H225">
        <v>230</v>
      </c>
      <c r="I225">
        <v>55</v>
      </c>
      <c r="J225">
        <v>95</v>
      </c>
      <c r="K225">
        <v>30</v>
      </c>
      <c r="L225">
        <v>2</v>
      </c>
      <c r="M225" t="b">
        <v>0</v>
      </c>
      <c r="N225" t="b">
        <f t="shared" si="3"/>
        <v>1</v>
      </c>
    </row>
    <row r="226" spans="1:14" x14ac:dyDescent="0.25">
      <c r="A226">
        <v>208</v>
      </c>
      <c r="B226" s="1" t="s">
        <v>256</v>
      </c>
      <c r="C226" s="1" t="s">
        <v>117</v>
      </c>
      <c r="D226" s="1" t="s">
        <v>56</v>
      </c>
      <c r="E226">
        <v>510</v>
      </c>
      <c r="F226">
        <v>75</v>
      </c>
      <c r="G226">
        <v>85</v>
      </c>
      <c r="H226">
        <v>200</v>
      </c>
      <c r="I226">
        <v>55</v>
      </c>
      <c r="J226">
        <v>65</v>
      </c>
      <c r="K226">
        <v>30</v>
      </c>
      <c r="L226">
        <v>2</v>
      </c>
      <c r="M226" t="b">
        <v>0</v>
      </c>
      <c r="N226" t="b">
        <f t="shared" si="3"/>
        <v>0</v>
      </c>
    </row>
    <row r="227" spans="1:14" x14ac:dyDescent="0.25">
      <c r="A227">
        <v>209</v>
      </c>
      <c r="B227" s="1" t="s">
        <v>257</v>
      </c>
      <c r="C227" s="1" t="s">
        <v>65</v>
      </c>
      <c r="D227" s="1" t="s">
        <v>21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  <c r="N227" t="b">
        <f t="shared" si="3"/>
        <v>0</v>
      </c>
    </row>
    <row r="228" spans="1:14" x14ac:dyDescent="0.25">
      <c r="A228">
        <v>210</v>
      </c>
      <c r="B228" s="1" t="s">
        <v>258</v>
      </c>
      <c r="C228" s="1" t="s">
        <v>65</v>
      </c>
      <c r="D228" s="1" t="s">
        <v>21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  <c r="N228" t="b">
        <f t="shared" si="3"/>
        <v>0</v>
      </c>
    </row>
    <row r="229" spans="1:14" x14ac:dyDescent="0.25">
      <c r="A229">
        <v>211</v>
      </c>
      <c r="B229" s="1" t="s">
        <v>259</v>
      </c>
      <c r="C229" s="1" t="s">
        <v>29</v>
      </c>
      <c r="D229" s="1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  <c r="N229" t="b">
        <f t="shared" si="3"/>
        <v>0</v>
      </c>
    </row>
    <row r="230" spans="1:14" x14ac:dyDescent="0.25">
      <c r="A230">
        <v>212</v>
      </c>
      <c r="B230" s="1" t="s">
        <v>260</v>
      </c>
      <c r="C230" s="1" t="s">
        <v>34</v>
      </c>
      <c r="D230" s="1" t="s">
        <v>117</v>
      </c>
      <c r="E230">
        <v>600</v>
      </c>
      <c r="F230">
        <v>70</v>
      </c>
      <c r="G230">
        <v>150</v>
      </c>
      <c r="H230">
        <v>140</v>
      </c>
      <c r="I230">
        <v>65</v>
      </c>
      <c r="J230">
        <v>100</v>
      </c>
      <c r="K230">
        <v>75</v>
      </c>
      <c r="L230">
        <v>2</v>
      </c>
      <c r="M230" t="b">
        <v>0</v>
      </c>
      <c r="N230" t="b">
        <f t="shared" si="3"/>
        <v>1</v>
      </c>
    </row>
    <row r="231" spans="1:14" x14ac:dyDescent="0.25">
      <c r="A231">
        <v>212</v>
      </c>
      <c r="B231" s="1" t="s">
        <v>261</v>
      </c>
      <c r="C231" s="1" t="s">
        <v>34</v>
      </c>
      <c r="D231" s="1" t="s">
        <v>117</v>
      </c>
      <c r="E231">
        <v>500</v>
      </c>
      <c r="F231">
        <v>70</v>
      </c>
      <c r="G231">
        <v>130</v>
      </c>
      <c r="H231">
        <v>100</v>
      </c>
      <c r="I231">
        <v>55</v>
      </c>
      <c r="J231">
        <v>80</v>
      </c>
      <c r="K231">
        <v>65</v>
      </c>
      <c r="L231">
        <v>2</v>
      </c>
      <c r="M231" t="b">
        <v>0</v>
      </c>
      <c r="N231" t="b">
        <f t="shared" si="3"/>
        <v>0</v>
      </c>
    </row>
    <row r="232" spans="1:14" x14ac:dyDescent="0.25">
      <c r="A232">
        <v>213</v>
      </c>
      <c r="B232" s="1" t="s">
        <v>262</v>
      </c>
      <c r="C232" s="1" t="s">
        <v>34</v>
      </c>
      <c r="D232" s="1" t="s">
        <v>108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  <c r="N232" t="b">
        <f t="shared" si="3"/>
        <v>0</v>
      </c>
    </row>
    <row r="233" spans="1:14" x14ac:dyDescent="0.25">
      <c r="A233">
        <v>214</v>
      </c>
      <c r="B233" s="1" t="s">
        <v>263</v>
      </c>
      <c r="C233" s="1" t="s">
        <v>34</v>
      </c>
      <c r="D233" s="1" t="s">
        <v>87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  <c r="N233" t="b">
        <f t="shared" si="3"/>
        <v>0</v>
      </c>
    </row>
    <row r="234" spans="1:14" x14ac:dyDescent="0.25">
      <c r="A234">
        <v>214</v>
      </c>
      <c r="B234" s="1" t="s">
        <v>264</v>
      </c>
      <c r="C234" s="1" t="s">
        <v>34</v>
      </c>
      <c r="D234" s="1" t="s">
        <v>87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  <c r="N234" t="b">
        <f t="shared" si="3"/>
        <v>1</v>
      </c>
    </row>
    <row r="235" spans="1:14" x14ac:dyDescent="0.25">
      <c r="A235">
        <v>215</v>
      </c>
      <c r="B235" s="1" t="s">
        <v>265</v>
      </c>
      <c r="C235" s="1" t="s">
        <v>172</v>
      </c>
      <c r="D235" s="1" t="s">
        <v>124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  <c r="N235" t="b">
        <f t="shared" si="3"/>
        <v>0</v>
      </c>
    </row>
    <row r="236" spans="1:14" x14ac:dyDescent="0.25">
      <c r="A236">
        <v>216</v>
      </c>
      <c r="B236" s="1" t="s">
        <v>266</v>
      </c>
      <c r="C236" s="1" t="s">
        <v>42</v>
      </c>
      <c r="D236" s="1" t="s">
        <v>21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  <c r="N236" t="b">
        <f t="shared" si="3"/>
        <v>0</v>
      </c>
    </row>
    <row r="237" spans="1:14" x14ac:dyDescent="0.25">
      <c r="A237">
        <v>217</v>
      </c>
      <c r="B237" s="1" t="s">
        <v>267</v>
      </c>
      <c r="C237" s="1" t="s">
        <v>42</v>
      </c>
      <c r="D237" s="1" t="s">
        <v>21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  <c r="N237" t="b">
        <f t="shared" si="3"/>
        <v>0</v>
      </c>
    </row>
    <row r="238" spans="1:14" x14ac:dyDescent="0.25">
      <c r="A238">
        <v>218</v>
      </c>
      <c r="B238" s="1" t="s">
        <v>268</v>
      </c>
      <c r="C238" s="1" t="s">
        <v>20</v>
      </c>
      <c r="D238" s="1" t="s">
        <v>21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  <c r="N238" t="b">
        <f t="shared" si="3"/>
        <v>0</v>
      </c>
    </row>
    <row r="239" spans="1:14" x14ac:dyDescent="0.25">
      <c r="A239">
        <v>219</v>
      </c>
      <c r="B239" s="1" t="s">
        <v>269</v>
      </c>
      <c r="C239" s="1" t="s">
        <v>20</v>
      </c>
      <c r="D239" s="1" t="s">
        <v>108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  <c r="N239" t="b">
        <f t="shared" si="3"/>
        <v>0</v>
      </c>
    </row>
    <row r="240" spans="1:14" x14ac:dyDescent="0.25">
      <c r="A240">
        <v>220</v>
      </c>
      <c r="B240" s="1" t="s">
        <v>270</v>
      </c>
      <c r="C240" s="1" t="s">
        <v>124</v>
      </c>
      <c r="D240" s="1" t="s">
        <v>56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  <c r="N240" t="b">
        <f t="shared" si="3"/>
        <v>0</v>
      </c>
    </row>
    <row r="241" spans="1:14" x14ac:dyDescent="0.25">
      <c r="A241">
        <v>221</v>
      </c>
      <c r="B241" s="1" t="s">
        <v>271</v>
      </c>
      <c r="C241" s="1" t="s">
        <v>124</v>
      </c>
      <c r="D241" s="1" t="s">
        <v>56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  <c r="N241" t="b">
        <f t="shared" si="3"/>
        <v>0</v>
      </c>
    </row>
    <row r="242" spans="1:14" x14ac:dyDescent="0.25">
      <c r="A242">
        <v>222</v>
      </c>
      <c r="B242" s="1" t="s">
        <v>272</v>
      </c>
      <c r="C242" s="1" t="s">
        <v>29</v>
      </c>
      <c r="D242" s="1" t="s">
        <v>108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  <c r="N242" t="b">
        <f t="shared" si="3"/>
        <v>0</v>
      </c>
    </row>
    <row r="243" spans="1:14" x14ac:dyDescent="0.25">
      <c r="A243">
        <v>223</v>
      </c>
      <c r="B243" s="1" t="s">
        <v>273</v>
      </c>
      <c r="C243" s="1" t="s">
        <v>29</v>
      </c>
      <c r="D243" s="1" t="s">
        <v>21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  <c r="N243" t="b">
        <f t="shared" si="3"/>
        <v>0</v>
      </c>
    </row>
    <row r="244" spans="1:14" x14ac:dyDescent="0.25">
      <c r="A244">
        <v>224</v>
      </c>
      <c r="B244" s="1" t="s">
        <v>274</v>
      </c>
      <c r="C244" s="1" t="s">
        <v>29</v>
      </c>
      <c r="D244" s="1" t="s">
        <v>21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  <c r="N244" t="b">
        <f t="shared" si="3"/>
        <v>0</v>
      </c>
    </row>
    <row r="245" spans="1:14" x14ac:dyDescent="0.25">
      <c r="A245">
        <v>225</v>
      </c>
      <c r="B245" s="1" t="s">
        <v>275</v>
      </c>
      <c r="C245" s="1" t="s">
        <v>124</v>
      </c>
      <c r="D245" s="1" t="s">
        <v>24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  <c r="N245" t="b">
        <f t="shared" si="3"/>
        <v>0</v>
      </c>
    </row>
    <row r="246" spans="1:14" x14ac:dyDescent="0.25">
      <c r="A246">
        <v>226</v>
      </c>
      <c r="B246" s="1" t="s">
        <v>276</v>
      </c>
      <c r="C246" s="1" t="s">
        <v>29</v>
      </c>
      <c r="D246" s="1" t="s">
        <v>24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  <c r="N246" t="b">
        <f t="shared" si="3"/>
        <v>0</v>
      </c>
    </row>
    <row r="247" spans="1:14" x14ac:dyDescent="0.25">
      <c r="A247">
        <v>227</v>
      </c>
      <c r="B247" s="1" t="s">
        <v>277</v>
      </c>
      <c r="C247" s="1" t="s">
        <v>117</v>
      </c>
      <c r="D247" s="1" t="s">
        <v>24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  <c r="N247" t="b">
        <f t="shared" si="3"/>
        <v>0</v>
      </c>
    </row>
    <row r="248" spans="1:14" x14ac:dyDescent="0.25">
      <c r="A248">
        <v>228</v>
      </c>
      <c r="B248" s="1" t="s">
        <v>278</v>
      </c>
      <c r="C248" s="1" t="s">
        <v>172</v>
      </c>
      <c r="D248" s="1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  <c r="N248" t="b">
        <f t="shared" si="3"/>
        <v>0</v>
      </c>
    </row>
    <row r="249" spans="1:14" x14ac:dyDescent="0.25">
      <c r="A249">
        <v>229</v>
      </c>
      <c r="B249" s="1" t="s">
        <v>279</v>
      </c>
      <c r="C249" s="1" t="s">
        <v>172</v>
      </c>
      <c r="D249" s="1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  <c r="N249" t="b">
        <f t="shared" si="3"/>
        <v>0</v>
      </c>
    </row>
    <row r="250" spans="1:14" x14ac:dyDescent="0.25">
      <c r="A250">
        <v>229</v>
      </c>
      <c r="B250" s="1" t="s">
        <v>280</v>
      </c>
      <c r="C250" s="1" t="s">
        <v>172</v>
      </c>
      <c r="D250" s="1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  <c r="N250" t="b">
        <f t="shared" si="3"/>
        <v>1</v>
      </c>
    </row>
    <row r="251" spans="1:14" x14ac:dyDescent="0.25">
      <c r="A251">
        <v>230</v>
      </c>
      <c r="B251" s="1" t="s">
        <v>281</v>
      </c>
      <c r="C251" s="1" t="s">
        <v>29</v>
      </c>
      <c r="D251" s="1" t="s">
        <v>26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  <c r="N251" t="b">
        <f t="shared" si="3"/>
        <v>0</v>
      </c>
    </row>
    <row r="252" spans="1:14" x14ac:dyDescent="0.25">
      <c r="A252">
        <v>231</v>
      </c>
      <c r="B252" s="1" t="s">
        <v>282</v>
      </c>
      <c r="C252" s="1" t="s">
        <v>56</v>
      </c>
      <c r="D252" s="1" t="s">
        <v>21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  <c r="N252" t="b">
        <f t="shared" si="3"/>
        <v>0</v>
      </c>
    </row>
    <row r="253" spans="1:14" x14ac:dyDescent="0.25">
      <c r="A253">
        <v>232</v>
      </c>
      <c r="B253" s="1" t="s">
        <v>283</v>
      </c>
      <c r="C253" s="1" t="s">
        <v>56</v>
      </c>
      <c r="D253" s="1" t="s">
        <v>21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  <c r="N253" t="b">
        <f t="shared" si="3"/>
        <v>0</v>
      </c>
    </row>
    <row r="254" spans="1:14" x14ac:dyDescent="0.25">
      <c r="A254">
        <v>233</v>
      </c>
      <c r="B254" s="1" t="s">
        <v>284</v>
      </c>
      <c r="C254" s="1" t="s">
        <v>42</v>
      </c>
      <c r="D254" s="1" t="s">
        <v>21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  <c r="N254" t="b">
        <f t="shared" si="3"/>
        <v>0</v>
      </c>
    </row>
    <row r="255" spans="1:14" x14ac:dyDescent="0.25">
      <c r="A255">
        <v>234</v>
      </c>
      <c r="B255" s="1" t="s">
        <v>285</v>
      </c>
      <c r="C255" s="1" t="s">
        <v>42</v>
      </c>
      <c r="D255" s="1" t="s">
        <v>21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  <c r="N255" t="b">
        <f t="shared" si="3"/>
        <v>0</v>
      </c>
    </row>
    <row r="256" spans="1:14" x14ac:dyDescent="0.25">
      <c r="A256">
        <v>235</v>
      </c>
      <c r="B256" s="1" t="s">
        <v>286</v>
      </c>
      <c r="C256" s="1" t="s">
        <v>42</v>
      </c>
      <c r="D256" s="1" t="s">
        <v>21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  <c r="N256" t="b">
        <f t="shared" si="3"/>
        <v>0</v>
      </c>
    </row>
    <row r="257" spans="1:14" x14ac:dyDescent="0.25">
      <c r="A257">
        <v>236</v>
      </c>
      <c r="B257" s="1" t="s">
        <v>287</v>
      </c>
      <c r="C257" s="1" t="s">
        <v>87</v>
      </c>
      <c r="D257" s="1" t="s">
        <v>21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  <c r="N257" t="b">
        <f t="shared" si="3"/>
        <v>0</v>
      </c>
    </row>
    <row r="258" spans="1:14" x14ac:dyDescent="0.25">
      <c r="A258">
        <v>237</v>
      </c>
      <c r="B258" s="1" t="s">
        <v>288</v>
      </c>
      <c r="C258" s="1" t="s">
        <v>87</v>
      </c>
      <c r="D258" s="1" t="s">
        <v>21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  <c r="N258" t="b">
        <f t="shared" ref="N258:N321" si="4">COUNTIF(B258,"*Mega*")&gt;0</f>
        <v>0</v>
      </c>
    </row>
    <row r="259" spans="1:14" x14ac:dyDescent="0.25">
      <c r="A259">
        <v>238</v>
      </c>
      <c r="B259" s="1" t="s">
        <v>289</v>
      </c>
      <c r="C259" s="1" t="s">
        <v>124</v>
      </c>
      <c r="D259" s="1" t="s">
        <v>95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  <c r="N259" t="b">
        <f t="shared" si="4"/>
        <v>0</v>
      </c>
    </row>
    <row r="260" spans="1:14" x14ac:dyDescent="0.25">
      <c r="A260">
        <v>239</v>
      </c>
      <c r="B260" s="1" t="s">
        <v>290</v>
      </c>
      <c r="C260" s="1" t="s">
        <v>53</v>
      </c>
      <c r="D260" s="1" t="s">
        <v>21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  <c r="N260" t="b">
        <f t="shared" si="4"/>
        <v>0</v>
      </c>
    </row>
    <row r="261" spans="1:14" x14ac:dyDescent="0.25">
      <c r="A261">
        <v>240</v>
      </c>
      <c r="B261" s="1" t="s">
        <v>291</v>
      </c>
      <c r="C261" s="1" t="s">
        <v>20</v>
      </c>
      <c r="D261" s="1" t="s">
        <v>21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  <c r="N261" t="b">
        <f t="shared" si="4"/>
        <v>0</v>
      </c>
    </row>
    <row r="262" spans="1:14" x14ac:dyDescent="0.25">
      <c r="A262">
        <v>241</v>
      </c>
      <c r="B262" s="1" t="s">
        <v>292</v>
      </c>
      <c r="C262" s="1" t="s">
        <v>42</v>
      </c>
      <c r="D262" s="1" t="s">
        <v>21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  <c r="N262" t="b">
        <f t="shared" si="4"/>
        <v>0</v>
      </c>
    </row>
    <row r="263" spans="1:14" x14ac:dyDescent="0.25">
      <c r="A263">
        <v>242</v>
      </c>
      <c r="B263" s="1" t="s">
        <v>293</v>
      </c>
      <c r="C263" s="1" t="s">
        <v>42</v>
      </c>
      <c r="D263" s="1" t="s">
        <v>21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  <c r="N263" t="b">
        <f t="shared" si="4"/>
        <v>0</v>
      </c>
    </row>
    <row r="264" spans="1:14" x14ac:dyDescent="0.25">
      <c r="A264">
        <v>243</v>
      </c>
      <c r="B264" s="1" t="s">
        <v>294</v>
      </c>
      <c r="C264" s="1" t="s">
        <v>53</v>
      </c>
      <c r="D264" s="1" t="s">
        <v>21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  <c r="N264" t="b">
        <f t="shared" si="4"/>
        <v>0</v>
      </c>
    </row>
    <row r="265" spans="1:14" x14ac:dyDescent="0.25">
      <c r="A265">
        <v>244</v>
      </c>
      <c r="B265" s="1" t="s">
        <v>295</v>
      </c>
      <c r="C265" s="1" t="s">
        <v>20</v>
      </c>
      <c r="D265" s="1" t="s">
        <v>21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  <c r="N265" t="b">
        <f t="shared" si="4"/>
        <v>0</v>
      </c>
    </row>
    <row r="266" spans="1:14" x14ac:dyDescent="0.25">
      <c r="A266">
        <v>245</v>
      </c>
      <c r="B266" s="1" t="s">
        <v>296</v>
      </c>
      <c r="C266" s="1" t="s">
        <v>29</v>
      </c>
      <c r="D266" s="1" t="s">
        <v>21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  <c r="N266" t="b">
        <f t="shared" si="4"/>
        <v>0</v>
      </c>
    </row>
    <row r="267" spans="1:14" x14ac:dyDescent="0.25">
      <c r="A267">
        <v>246</v>
      </c>
      <c r="B267" s="1" t="s">
        <v>297</v>
      </c>
      <c r="C267" s="1" t="s">
        <v>108</v>
      </c>
      <c r="D267" s="1" t="s">
        <v>56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  <c r="N267" t="b">
        <f t="shared" si="4"/>
        <v>0</v>
      </c>
    </row>
    <row r="268" spans="1:14" x14ac:dyDescent="0.25">
      <c r="A268">
        <v>247</v>
      </c>
      <c r="B268" s="1" t="s">
        <v>298</v>
      </c>
      <c r="C268" s="1" t="s">
        <v>108</v>
      </c>
      <c r="D268" s="1" t="s">
        <v>56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  <c r="N268" t="b">
        <f t="shared" si="4"/>
        <v>0</v>
      </c>
    </row>
    <row r="269" spans="1:14" x14ac:dyDescent="0.25">
      <c r="A269">
        <v>248</v>
      </c>
      <c r="B269" s="1" t="s">
        <v>299</v>
      </c>
      <c r="C269" s="1" t="s">
        <v>108</v>
      </c>
      <c r="D269" s="1" t="s">
        <v>172</v>
      </c>
      <c r="E269">
        <v>700</v>
      </c>
      <c r="F269">
        <v>100</v>
      </c>
      <c r="G269">
        <v>164</v>
      </c>
      <c r="H269">
        <v>150</v>
      </c>
      <c r="I269">
        <v>95</v>
      </c>
      <c r="J269">
        <v>120</v>
      </c>
      <c r="K269">
        <v>71</v>
      </c>
      <c r="L269">
        <v>2</v>
      </c>
      <c r="M269" t="b">
        <v>0</v>
      </c>
      <c r="N269" t="b">
        <f t="shared" si="4"/>
        <v>1</v>
      </c>
    </row>
    <row r="270" spans="1:14" x14ac:dyDescent="0.25">
      <c r="A270">
        <v>248</v>
      </c>
      <c r="B270" s="1" t="s">
        <v>300</v>
      </c>
      <c r="C270" s="1" t="s">
        <v>108</v>
      </c>
      <c r="D270" s="1" t="s">
        <v>172</v>
      </c>
      <c r="E270">
        <v>600</v>
      </c>
      <c r="F270">
        <v>100</v>
      </c>
      <c r="G270">
        <v>134</v>
      </c>
      <c r="H270">
        <v>110</v>
      </c>
      <c r="I270">
        <v>95</v>
      </c>
      <c r="J270">
        <v>100</v>
      </c>
      <c r="K270">
        <v>61</v>
      </c>
      <c r="L270">
        <v>2</v>
      </c>
      <c r="M270" t="b">
        <v>0</v>
      </c>
      <c r="N270" t="b">
        <f t="shared" si="4"/>
        <v>0</v>
      </c>
    </row>
    <row r="271" spans="1:14" x14ac:dyDescent="0.25">
      <c r="A271">
        <v>249</v>
      </c>
      <c r="B271" s="1" t="s">
        <v>301</v>
      </c>
      <c r="C271" s="1" t="s">
        <v>95</v>
      </c>
      <c r="D271" s="1" t="s">
        <v>24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  <c r="N271" t="b">
        <f t="shared" si="4"/>
        <v>0</v>
      </c>
    </row>
    <row r="272" spans="1:14" x14ac:dyDescent="0.25">
      <c r="A272">
        <v>250</v>
      </c>
      <c r="B272" s="1" t="s">
        <v>302</v>
      </c>
      <c r="C272" s="1" t="s">
        <v>20</v>
      </c>
      <c r="D272" s="1" t="s">
        <v>24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  <c r="N272" t="b">
        <f t="shared" si="4"/>
        <v>0</v>
      </c>
    </row>
    <row r="273" spans="1:14" x14ac:dyDescent="0.25">
      <c r="A273">
        <v>251</v>
      </c>
      <c r="B273" s="1" t="s">
        <v>303</v>
      </c>
      <c r="C273" s="1" t="s">
        <v>95</v>
      </c>
      <c r="D273" s="1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  <c r="N273" t="b">
        <f t="shared" si="4"/>
        <v>0</v>
      </c>
    </row>
    <row r="274" spans="1:14" x14ac:dyDescent="0.25">
      <c r="A274">
        <v>252</v>
      </c>
      <c r="B274" s="1" t="s">
        <v>304</v>
      </c>
      <c r="C274" s="1" t="s">
        <v>14</v>
      </c>
      <c r="D274" s="1" t="s">
        <v>21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  <c r="N274" t="b">
        <f t="shared" si="4"/>
        <v>0</v>
      </c>
    </row>
    <row r="275" spans="1:14" x14ac:dyDescent="0.25">
      <c r="A275">
        <v>253</v>
      </c>
      <c r="B275" s="1" t="s">
        <v>305</v>
      </c>
      <c r="C275" s="1" t="s">
        <v>14</v>
      </c>
      <c r="D275" s="1" t="s">
        <v>21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  <c r="N275" t="b">
        <f t="shared" si="4"/>
        <v>0</v>
      </c>
    </row>
    <row r="276" spans="1:14" x14ac:dyDescent="0.25">
      <c r="A276">
        <v>254</v>
      </c>
      <c r="B276" s="1" t="s">
        <v>306</v>
      </c>
      <c r="C276" s="1" t="s">
        <v>14</v>
      </c>
      <c r="D276" s="1" t="s">
        <v>26</v>
      </c>
      <c r="E276">
        <v>630</v>
      </c>
      <c r="F276">
        <v>70</v>
      </c>
      <c r="G276">
        <v>110</v>
      </c>
      <c r="H276">
        <v>75</v>
      </c>
      <c r="I276">
        <v>145</v>
      </c>
      <c r="J276">
        <v>85</v>
      </c>
      <c r="K276">
        <v>145</v>
      </c>
      <c r="L276">
        <v>3</v>
      </c>
      <c r="M276" t="b">
        <v>0</v>
      </c>
      <c r="N276" t="b">
        <f t="shared" si="4"/>
        <v>1</v>
      </c>
    </row>
    <row r="277" spans="1:14" x14ac:dyDescent="0.25">
      <c r="A277">
        <v>254</v>
      </c>
      <c r="B277" s="1" t="s">
        <v>307</v>
      </c>
      <c r="C277" s="1" t="s">
        <v>14</v>
      </c>
      <c r="D277" s="1" t="s">
        <v>21</v>
      </c>
      <c r="E277">
        <v>530</v>
      </c>
      <c r="F277">
        <v>70</v>
      </c>
      <c r="G277">
        <v>85</v>
      </c>
      <c r="H277">
        <v>65</v>
      </c>
      <c r="I277">
        <v>105</v>
      </c>
      <c r="J277">
        <v>85</v>
      </c>
      <c r="K277">
        <v>120</v>
      </c>
      <c r="L277">
        <v>3</v>
      </c>
      <c r="M277" t="b">
        <v>0</v>
      </c>
      <c r="N277" t="b">
        <f t="shared" si="4"/>
        <v>0</v>
      </c>
    </row>
    <row r="278" spans="1:14" x14ac:dyDescent="0.25">
      <c r="A278">
        <v>255</v>
      </c>
      <c r="B278" s="1" t="s">
        <v>308</v>
      </c>
      <c r="C278" s="1" t="s">
        <v>20</v>
      </c>
      <c r="D278" s="1" t="s">
        <v>21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  <c r="N278" t="b">
        <f t="shared" si="4"/>
        <v>0</v>
      </c>
    </row>
    <row r="279" spans="1:14" x14ac:dyDescent="0.25">
      <c r="A279">
        <v>256</v>
      </c>
      <c r="B279" s="1" t="s">
        <v>309</v>
      </c>
      <c r="C279" s="1" t="s">
        <v>20</v>
      </c>
      <c r="D279" s="1" t="s">
        <v>87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  <c r="N279" t="b">
        <f t="shared" si="4"/>
        <v>0</v>
      </c>
    </row>
    <row r="280" spans="1:14" x14ac:dyDescent="0.25">
      <c r="A280">
        <v>257</v>
      </c>
      <c r="B280" s="1" t="s">
        <v>310</v>
      </c>
      <c r="C280" s="1" t="s">
        <v>20</v>
      </c>
      <c r="D280" s="1" t="s">
        <v>87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  <c r="N280" t="b">
        <f t="shared" si="4"/>
        <v>0</v>
      </c>
    </row>
    <row r="281" spans="1:14" x14ac:dyDescent="0.25">
      <c r="A281">
        <v>257</v>
      </c>
      <c r="B281" s="1" t="s">
        <v>311</v>
      </c>
      <c r="C281" s="1" t="s">
        <v>20</v>
      </c>
      <c r="D281" s="1" t="s">
        <v>87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  <c r="N281" t="b">
        <f t="shared" si="4"/>
        <v>1</v>
      </c>
    </row>
    <row r="282" spans="1:14" x14ac:dyDescent="0.25">
      <c r="A282">
        <v>258</v>
      </c>
      <c r="B282" s="1" t="s">
        <v>312</v>
      </c>
      <c r="C282" s="1" t="s">
        <v>29</v>
      </c>
      <c r="D282" s="1" t="s">
        <v>21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  <c r="N282" t="b">
        <f t="shared" si="4"/>
        <v>0</v>
      </c>
    </row>
    <row r="283" spans="1:14" x14ac:dyDescent="0.25">
      <c r="A283">
        <v>259</v>
      </c>
      <c r="B283" s="1" t="s">
        <v>313</v>
      </c>
      <c r="C283" s="1" t="s">
        <v>29</v>
      </c>
      <c r="D283" s="1" t="s">
        <v>56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  <c r="N283" t="b">
        <f t="shared" si="4"/>
        <v>0</v>
      </c>
    </row>
    <row r="284" spans="1:14" x14ac:dyDescent="0.25">
      <c r="A284">
        <v>260</v>
      </c>
      <c r="B284" s="1" t="s">
        <v>314</v>
      </c>
      <c r="C284" s="1" t="s">
        <v>29</v>
      </c>
      <c r="D284" s="1" t="s">
        <v>56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  <c r="N284" t="b">
        <f t="shared" si="4"/>
        <v>0</v>
      </c>
    </row>
    <row r="285" spans="1:14" x14ac:dyDescent="0.25">
      <c r="A285">
        <v>260</v>
      </c>
      <c r="B285" s="1" t="s">
        <v>315</v>
      </c>
      <c r="C285" s="1" t="s">
        <v>29</v>
      </c>
      <c r="D285" s="1" t="s">
        <v>56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  <c r="N285" t="b">
        <f t="shared" si="4"/>
        <v>1</v>
      </c>
    </row>
    <row r="286" spans="1:14" x14ac:dyDescent="0.25">
      <c r="A286">
        <v>261</v>
      </c>
      <c r="B286" s="1" t="s">
        <v>316</v>
      </c>
      <c r="C286" s="1" t="s">
        <v>172</v>
      </c>
      <c r="D286" s="1" t="s">
        <v>21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  <c r="N286" t="b">
        <f t="shared" si="4"/>
        <v>0</v>
      </c>
    </row>
    <row r="287" spans="1:14" x14ac:dyDescent="0.25">
      <c r="A287">
        <v>262</v>
      </c>
      <c r="B287" s="1" t="s">
        <v>317</v>
      </c>
      <c r="C287" s="1" t="s">
        <v>172</v>
      </c>
      <c r="D287" s="1" t="s">
        <v>21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  <c r="N287" t="b">
        <f t="shared" si="4"/>
        <v>0</v>
      </c>
    </row>
    <row r="288" spans="1:14" x14ac:dyDescent="0.25">
      <c r="A288">
        <v>263</v>
      </c>
      <c r="B288" s="1" t="s">
        <v>318</v>
      </c>
      <c r="C288" s="1" t="s">
        <v>42</v>
      </c>
      <c r="D288" s="1" t="s">
        <v>21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  <c r="N288" t="b">
        <f t="shared" si="4"/>
        <v>0</v>
      </c>
    </row>
    <row r="289" spans="1:14" x14ac:dyDescent="0.25">
      <c r="A289">
        <v>264</v>
      </c>
      <c r="B289" s="1" t="s">
        <v>319</v>
      </c>
      <c r="C289" s="1" t="s">
        <v>42</v>
      </c>
      <c r="D289" s="1" t="s">
        <v>21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  <c r="N289" t="b">
        <f t="shared" si="4"/>
        <v>0</v>
      </c>
    </row>
    <row r="290" spans="1:14" x14ac:dyDescent="0.25">
      <c r="A290">
        <v>265</v>
      </c>
      <c r="B290" s="1" t="s">
        <v>320</v>
      </c>
      <c r="C290" s="1" t="s">
        <v>34</v>
      </c>
      <c r="D290" s="1" t="s">
        <v>21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  <c r="N290" t="b">
        <f t="shared" si="4"/>
        <v>0</v>
      </c>
    </row>
    <row r="291" spans="1:14" x14ac:dyDescent="0.25">
      <c r="A291">
        <v>266</v>
      </c>
      <c r="B291" s="1" t="s">
        <v>321</v>
      </c>
      <c r="C291" s="1" t="s">
        <v>34</v>
      </c>
      <c r="D291" s="1" t="s">
        <v>21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  <c r="N291" t="b">
        <f t="shared" si="4"/>
        <v>0</v>
      </c>
    </row>
    <row r="292" spans="1:14" x14ac:dyDescent="0.25">
      <c r="A292">
        <v>267</v>
      </c>
      <c r="B292" s="1" t="s">
        <v>322</v>
      </c>
      <c r="C292" s="1" t="s">
        <v>34</v>
      </c>
      <c r="D292" s="1" t="s">
        <v>24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  <c r="N292" t="b">
        <f t="shared" si="4"/>
        <v>0</v>
      </c>
    </row>
    <row r="293" spans="1:14" x14ac:dyDescent="0.25">
      <c r="A293">
        <v>268</v>
      </c>
      <c r="B293" s="1" t="s">
        <v>323</v>
      </c>
      <c r="C293" s="1" t="s">
        <v>34</v>
      </c>
      <c r="D293" s="1" t="s">
        <v>21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  <c r="N293" t="b">
        <f t="shared" si="4"/>
        <v>0</v>
      </c>
    </row>
    <row r="294" spans="1:14" x14ac:dyDescent="0.25">
      <c r="A294">
        <v>269</v>
      </c>
      <c r="B294" s="1" t="s">
        <v>324</v>
      </c>
      <c r="C294" s="1" t="s">
        <v>34</v>
      </c>
      <c r="D294" s="1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  <c r="N294" t="b">
        <f t="shared" si="4"/>
        <v>0</v>
      </c>
    </row>
    <row r="295" spans="1:14" x14ac:dyDescent="0.25">
      <c r="A295">
        <v>270</v>
      </c>
      <c r="B295" s="1" t="s">
        <v>325</v>
      </c>
      <c r="C295" s="1" t="s">
        <v>29</v>
      </c>
      <c r="D295" s="1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  <c r="N295" t="b">
        <f t="shared" si="4"/>
        <v>0</v>
      </c>
    </row>
    <row r="296" spans="1:14" x14ac:dyDescent="0.25">
      <c r="A296">
        <v>271</v>
      </c>
      <c r="B296" s="1" t="s">
        <v>326</v>
      </c>
      <c r="C296" s="1" t="s">
        <v>29</v>
      </c>
      <c r="D296" s="1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  <c r="N296" t="b">
        <f t="shared" si="4"/>
        <v>0</v>
      </c>
    </row>
    <row r="297" spans="1:14" x14ac:dyDescent="0.25">
      <c r="A297">
        <v>272</v>
      </c>
      <c r="B297" s="1" t="s">
        <v>327</v>
      </c>
      <c r="C297" s="1" t="s">
        <v>29</v>
      </c>
      <c r="D297" s="1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  <c r="N297" t="b">
        <f t="shared" si="4"/>
        <v>0</v>
      </c>
    </row>
    <row r="298" spans="1:14" x14ac:dyDescent="0.25">
      <c r="A298">
        <v>273</v>
      </c>
      <c r="B298" s="1" t="s">
        <v>328</v>
      </c>
      <c r="C298" s="1" t="s">
        <v>14</v>
      </c>
      <c r="D298" s="1" t="s">
        <v>21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  <c r="N298" t="b">
        <f t="shared" si="4"/>
        <v>0</v>
      </c>
    </row>
    <row r="299" spans="1:14" x14ac:dyDescent="0.25">
      <c r="A299">
        <v>274</v>
      </c>
      <c r="B299" s="1" t="s">
        <v>329</v>
      </c>
      <c r="C299" s="1" t="s">
        <v>14</v>
      </c>
      <c r="D299" s="1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  <c r="N299" t="b">
        <f t="shared" si="4"/>
        <v>0</v>
      </c>
    </row>
    <row r="300" spans="1:14" x14ac:dyDescent="0.25">
      <c r="A300">
        <v>275</v>
      </c>
      <c r="B300" s="1" t="s">
        <v>330</v>
      </c>
      <c r="C300" s="1" t="s">
        <v>14</v>
      </c>
      <c r="D300" s="1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  <c r="N300" t="b">
        <f t="shared" si="4"/>
        <v>0</v>
      </c>
    </row>
    <row r="301" spans="1:14" x14ac:dyDescent="0.25">
      <c r="A301">
        <v>276</v>
      </c>
      <c r="B301" s="1" t="s">
        <v>331</v>
      </c>
      <c r="C301" s="1" t="s">
        <v>42</v>
      </c>
      <c r="D301" s="1" t="s">
        <v>24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  <c r="N301" t="b">
        <f t="shared" si="4"/>
        <v>0</v>
      </c>
    </row>
    <row r="302" spans="1:14" x14ac:dyDescent="0.25">
      <c r="A302">
        <v>277</v>
      </c>
      <c r="B302" s="1" t="s">
        <v>332</v>
      </c>
      <c r="C302" s="1" t="s">
        <v>42</v>
      </c>
      <c r="D302" s="1" t="s">
        <v>24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  <c r="N302" t="b">
        <f t="shared" si="4"/>
        <v>0</v>
      </c>
    </row>
    <row r="303" spans="1:14" x14ac:dyDescent="0.25">
      <c r="A303">
        <v>278</v>
      </c>
      <c r="B303" s="1" t="s">
        <v>333</v>
      </c>
      <c r="C303" s="1" t="s">
        <v>29</v>
      </c>
      <c r="D303" s="1" t="s">
        <v>24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  <c r="N303" t="b">
        <f t="shared" si="4"/>
        <v>0</v>
      </c>
    </row>
    <row r="304" spans="1:14" x14ac:dyDescent="0.25">
      <c r="A304">
        <v>279</v>
      </c>
      <c r="B304" s="1" t="s">
        <v>334</v>
      </c>
      <c r="C304" s="1" t="s">
        <v>29</v>
      </c>
      <c r="D304" s="1" t="s">
        <v>24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  <c r="N304" t="b">
        <f t="shared" si="4"/>
        <v>0</v>
      </c>
    </row>
    <row r="305" spans="1:14" x14ac:dyDescent="0.25">
      <c r="A305">
        <v>280</v>
      </c>
      <c r="B305" s="1" t="s">
        <v>335</v>
      </c>
      <c r="C305" s="1" t="s">
        <v>95</v>
      </c>
      <c r="D305" s="1" t="s">
        <v>65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  <c r="N305" t="b">
        <f t="shared" si="4"/>
        <v>0</v>
      </c>
    </row>
    <row r="306" spans="1:14" x14ac:dyDescent="0.25">
      <c r="A306">
        <v>281</v>
      </c>
      <c r="B306" s="1" t="s">
        <v>336</v>
      </c>
      <c r="C306" s="1" t="s">
        <v>95</v>
      </c>
      <c r="D306" s="1" t="s">
        <v>65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  <c r="N306" t="b">
        <f t="shared" si="4"/>
        <v>0</v>
      </c>
    </row>
    <row r="307" spans="1:14" x14ac:dyDescent="0.25">
      <c r="A307">
        <v>282</v>
      </c>
      <c r="B307" s="1" t="s">
        <v>337</v>
      </c>
      <c r="C307" s="1" t="s">
        <v>95</v>
      </c>
      <c r="D307" s="1" t="s">
        <v>65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  <c r="N307" t="b">
        <f t="shared" si="4"/>
        <v>0</v>
      </c>
    </row>
    <row r="308" spans="1:14" x14ac:dyDescent="0.25">
      <c r="A308">
        <v>282</v>
      </c>
      <c r="B308" s="1" t="s">
        <v>338</v>
      </c>
      <c r="C308" s="1" t="s">
        <v>95</v>
      </c>
      <c r="D308" s="1" t="s">
        <v>65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  <c r="N308" t="b">
        <f t="shared" si="4"/>
        <v>1</v>
      </c>
    </row>
    <row r="309" spans="1:14" x14ac:dyDescent="0.25">
      <c r="A309">
        <v>283</v>
      </c>
      <c r="B309" s="1" t="s">
        <v>339</v>
      </c>
      <c r="C309" s="1" t="s">
        <v>34</v>
      </c>
      <c r="D309" s="1" t="s">
        <v>29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  <c r="N309" t="b">
        <f t="shared" si="4"/>
        <v>0</v>
      </c>
    </row>
    <row r="310" spans="1:14" x14ac:dyDescent="0.25">
      <c r="A310">
        <v>284</v>
      </c>
      <c r="B310" s="1" t="s">
        <v>340</v>
      </c>
      <c r="C310" s="1" t="s">
        <v>34</v>
      </c>
      <c r="D310" s="1" t="s">
        <v>24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  <c r="N310" t="b">
        <f t="shared" si="4"/>
        <v>0</v>
      </c>
    </row>
    <row r="311" spans="1:14" x14ac:dyDescent="0.25">
      <c r="A311">
        <v>285</v>
      </c>
      <c r="B311" s="1" t="s">
        <v>341</v>
      </c>
      <c r="C311" s="1" t="s">
        <v>14</v>
      </c>
      <c r="D311" s="1" t="s">
        <v>21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  <c r="N311" t="b">
        <f t="shared" si="4"/>
        <v>0</v>
      </c>
    </row>
    <row r="312" spans="1:14" x14ac:dyDescent="0.25">
      <c r="A312">
        <v>286</v>
      </c>
      <c r="B312" s="1" t="s">
        <v>342</v>
      </c>
      <c r="C312" s="1" t="s">
        <v>14</v>
      </c>
      <c r="D312" s="1" t="s">
        <v>87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  <c r="N312" t="b">
        <f t="shared" si="4"/>
        <v>0</v>
      </c>
    </row>
    <row r="313" spans="1:14" x14ac:dyDescent="0.25">
      <c r="A313">
        <v>287</v>
      </c>
      <c r="B313" s="1" t="s">
        <v>343</v>
      </c>
      <c r="C313" s="1" t="s">
        <v>42</v>
      </c>
      <c r="D313" s="1" t="s">
        <v>21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  <c r="N313" t="b">
        <f t="shared" si="4"/>
        <v>0</v>
      </c>
    </row>
    <row r="314" spans="1:14" x14ac:dyDescent="0.25">
      <c r="A314">
        <v>288</v>
      </c>
      <c r="B314" s="1" t="s">
        <v>344</v>
      </c>
      <c r="C314" s="1" t="s">
        <v>42</v>
      </c>
      <c r="D314" s="1" t="s">
        <v>21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  <c r="N314" t="b">
        <f t="shared" si="4"/>
        <v>0</v>
      </c>
    </row>
    <row r="315" spans="1:14" x14ac:dyDescent="0.25">
      <c r="A315">
        <v>289</v>
      </c>
      <c r="B315" s="1" t="s">
        <v>345</v>
      </c>
      <c r="C315" s="1" t="s">
        <v>42</v>
      </c>
      <c r="D315" s="1" t="s">
        <v>21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  <c r="N315" t="b">
        <f t="shared" si="4"/>
        <v>0</v>
      </c>
    </row>
    <row r="316" spans="1:14" x14ac:dyDescent="0.25">
      <c r="A316">
        <v>290</v>
      </c>
      <c r="B316" s="1" t="s">
        <v>346</v>
      </c>
      <c r="C316" s="1" t="s">
        <v>34</v>
      </c>
      <c r="D316" s="1" t="s">
        <v>56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  <c r="N316" t="b">
        <f t="shared" si="4"/>
        <v>0</v>
      </c>
    </row>
    <row r="317" spans="1:14" x14ac:dyDescent="0.25">
      <c r="A317">
        <v>291</v>
      </c>
      <c r="B317" s="1" t="s">
        <v>347</v>
      </c>
      <c r="C317" s="1" t="s">
        <v>34</v>
      </c>
      <c r="D317" s="1" t="s">
        <v>24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  <c r="N317" t="b">
        <f t="shared" si="4"/>
        <v>0</v>
      </c>
    </row>
    <row r="318" spans="1:14" x14ac:dyDescent="0.25">
      <c r="A318">
        <v>292</v>
      </c>
      <c r="B318" s="1" t="s">
        <v>348</v>
      </c>
      <c r="C318" s="1" t="s">
        <v>34</v>
      </c>
      <c r="D318" s="1" t="s">
        <v>130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  <c r="N318" t="b">
        <f t="shared" si="4"/>
        <v>0</v>
      </c>
    </row>
    <row r="319" spans="1:14" x14ac:dyDescent="0.25">
      <c r="A319">
        <v>293</v>
      </c>
      <c r="B319" s="1" t="s">
        <v>349</v>
      </c>
      <c r="C319" s="1" t="s">
        <v>42</v>
      </c>
      <c r="D319" s="1" t="s">
        <v>21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  <c r="N319" t="b">
        <f t="shared" si="4"/>
        <v>0</v>
      </c>
    </row>
    <row r="320" spans="1:14" x14ac:dyDescent="0.25">
      <c r="A320">
        <v>294</v>
      </c>
      <c r="B320" s="1" t="s">
        <v>350</v>
      </c>
      <c r="C320" s="1" t="s">
        <v>42</v>
      </c>
      <c r="D320" s="1" t="s">
        <v>21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  <c r="N320" t="b">
        <f t="shared" si="4"/>
        <v>0</v>
      </c>
    </row>
    <row r="321" spans="1:14" x14ac:dyDescent="0.25">
      <c r="A321">
        <v>295</v>
      </c>
      <c r="B321" s="1" t="s">
        <v>351</v>
      </c>
      <c r="C321" s="1" t="s">
        <v>42</v>
      </c>
      <c r="D321" s="1" t="s">
        <v>21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  <c r="N321" t="b">
        <f t="shared" si="4"/>
        <v>0</v>
      </c>
    </row>
    <row r="322" spans="1:14" x14ac:dyDescent="0.25">
      <c r="A322">
        <v>296</v>
      </c>
      <c r="B322" s="1" t="s">
        <v>352</v>
      </c>
      <c r="C322" s="1" t="s">
        <v>87</v>
      </c>
      <c r="D322" s="1" t="s">
        <v>21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  <c r="N322" t="b">
        <f t="shared" ref="N322:N385" si="5">COUNTIF(B322,"*Mega*")&gt;0</f>
        <v>0</v>
      </c>
    </row>
    <row r="323" spans="1:14" x14ac:dyDescent="0.25">
      <c r="A323">
        <v>297</v>
      </c>
      <c r="B323" s="1" t="s">
        <v>353</v>
      </c>
      <c r="C323" s="1" t="s">
        <v>87</v>
      </c>
      <c r="D323" s="1" t="s">
        <v>21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  <c r="N323" t="b">
        <f t="shared" si="5"/>
        <v>0</v>
      </c>
    </row>
    <row r="324" spans="1:14" x14ac:dyDescent="0.25">
      <c r="A324">
        <v>298</v>
      </c>
      <c r="B324" s="1" t="s">
        <v>354</v>
      </c>
      <c r="C324" s="1" t="s">
        <v>42</v>
      </c>
      <c r="D324" s="1" t="s">
        <v>65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  <c r="N324" t="b">
        <f t="shared" si="5"/>
        <v>0</v>
      </c>
    </row>
    <row r="325" spans="1:14" x14ac:dyDescent="0.25">
      <c r="A325">
        <v>299</v>
      </c>
      <c r="B325" s="1" t="s">
        <v>355</v>
      </c>
      <c r="C325" s="1" t="s">
        <v>108</v>
      </c>
      <c r="D325" s="1" t="s">
        <v>21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  <c r="N325" t="b">
        <f t="shared" si="5"/>
        <v>0</v>
      </c>
    </row>
    <row r="326" spans="1:14" x14ac:dyDescent="0.25">
      <c r="A326">
        <v>300</v>
      </c>
      <c r="B326" s="1" t="s">
        <v>356</v>
      </c>
      <c r="C326" s="1" t="s">
        <v>42</v>
      </c>
      <c r="D326" s="1" t="s">
        <v>21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  <c r="N326" t="b">
        <f t="shared" si="5"/>
        <v>0</v>
      </c>
    </row>
    <row r="327" spans="1:14" x14ac:dyDescent="0.25">
      <c r="A327">
        <v>301</v>
      </c>
      <c r="B327" s="1" t="s">
        <v>357</v>
      </c>
      <c r="C327" s="1" t="s">
        <v>42</v>
      </c>
      <c r="D327" s="1" t="s">
        <v>21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  <c r="N327" t="b">
        <f t="shared" si="5"/>
        <v>0</v>
      </c>
    </row>
    <row r="328" spans="1:14" x14ac:dyDescent="0.25">
      <c r="A328">
        <v>302</v>
      </c>
      <c r="B328" s="1" t="s">
        <v>358</v>
      </c>
      <c r="C328" s="1" t="s">
        <v>172</v>
      </c>
      <c r="D328" s="1" t="s">
        <v>130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  <c r="N328" t="b">
        <f t="shared" si="5"/>
        <v>0</v>
      </c>
    </row>
    <row r="329" spans="1:14" x14ac:dyDescent="0.25">
      <c r="A329">
        <v>302</v>
      </c>
      <c r="B329" s="1" t="s">
        <v>359</v>
      </c>
      <c r="C329" s="1" t="s">
        <v>172</v>
      </c>
      <c r="D329" s="1" t="s">
        <v>130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  <c r="N329" t="b">
        <f t="shared" si="5"/>
        <v>1</v>
      </c>
    </row>
    <row r="330" spans="1:14" x14ac:dyDescent="0.25">
      <c r="A330">
        <v>303</v>
      </c>
      <c r="B330" s="1" t="s">
        <v>360</v>
      </c>
      <c r="C330" s="1" t="s">
        <v>117</v>
      </c>
      <c r="D330" s="1" t="s">
        <v>65</v>
      </c>
      <c r="E330">
        <v>480</v>
      </c>
      <c r="F330">
        <v>50</v>
      </c>
      <c r="G330">
        <v>105</v>
      </c>
      <c r="H330">
        <v>125</v>
      </c>
      <c r="I330">
        <v>55</v>
      </c>
      <c r="J330">
        <v>95</v>
      </c>
      <c r="K330">
        <v>50</v>
      </c>
      <c r="L330">
        <v>3</v>
      </c>
      <c r="M330" t="b">
        <v>0</v>
      </c>
      <c r="N330" t="b">
        <f t="shared" si="5"/>
        <v>1</v>
      </c>
    </row>
    <row r="331" spans="1:14" x14ac:dyDescent="0.25">
      <c r="A331">
        <v>303</v>
      </c>
      <c r="B331" s="1" t="s">
        <v>361</v>
      </c>
      <c r="C331" s="1" t="s">
        <v>117</v>
      </c>
      <c r="D331" s="1" t="s">
        <v>65</v>
      </c>
      <c r="E331">
        <v>380</v>
      </c>
      <c r="F331">
        <v>50</v>
      </c>
      <c r="G331">
        <v>85</v>
      </c>
      <c r="H331">
        <v>85</v>
      </c>
      <c r="I331">
        <v>55</v>
      </c>
      <c r="J331">
        <v>55</v>
      </c>
      <c r="K331">
        <v>50</v>
      </c>
      <c r="L331">
        <v>3</v>
      </c>
      <c r="M331" t="b">
        <v>0</v>
      </c>
      <c r="N331" t="b">
        <f t="shared" si="5"/>
        <v>0</v>
      </c>
    </row>
    <row r="332" spans="1:14" x14ac:dyDescent="0.25">
      <c r="A332">
        <v>304</v>
      </c>
      <c r="B332" s="1" t="s">
        <v>362</v>
      </c>
      <c r="C332" s="1" t="s">
        <v>117</v>
      </c>
      <c r="D332" s="1" t="s">
        <v>108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  <c r="N332" t="b">
        <f t="shared" si="5"/>
        <v>0</v>
      </c>
    </row>
    <row r="333" spans="1:14" x14ac:dyDescent="0.25">
      <c r="A333">
        <v>305</v>
      </c>
      <c r="B333" s="1" t="s">
        <v>363</v>
      </c>
      <c r="C333" s="1" t="s">
        <v>117</v>
      </c>
      <c r="D333" s="1" t="s">
        <v>108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  <c r="N333" t="b">
        <f t="shared" si="5"/>
        <v>0</v>
      </c>
    </row>
    <row r="334" spans="1:14" x14ac:dyDescent="0.25">
      <c r="A334">
        <v>306</v>
      </c>
      <c r="B334" s="1" t="s">
        <v>364</v>
      </c>
      <c r="C334" s="1" t="s">
        <v>117</v>
      </c>
      <c r="D334" s="1" t="s">
        <v>21</v>
      </c>
      <c r="E334">
        <v>630</v>
      </c>
      <c r="F334">
        <v>70</v>
      </c>
      <c r="G334">
        <v>140</v>
      </c>
      <c r="H334">
        <v>230</v>
      </c>
      <c r="I334">
        <v>60</v>
      </c>
      <c r="J334">
        <v>80</v>
      </c>
      <c r="K334">
        <v>50</v>
      </c>
      <c r="L334">
        <v>3</v>
      </c>
      <c r="M334" t="b">
        <v>0</v>
      </c>
      <c r="N334" t="b">
        <f t="shared" si="5"/>
        <v>1</v>
      </c>
    </row>
    <row r="335" spans="1:14" x14ac:dyDescent="0.25">
      <c r="A335">
        <v>306</v>
      </c>
      <c r="B335" s="1" t="s">
        <v>365</v>
      </c>
      <c r="C335" s="1" t="s">
        <v>117</v>
      </c>
      <c r="D335" s="1" t="s">
        <v>108</v>
      </c>
      <c r="E335">
        <v>530</v>
      </c>
      <c r="F335">
        <v>70</v>
      </c>
      <c r="G335">
        <v>110</v>
      </c>
      <c r="H335">
        <v>180</v>
      </c>
      <c r="I335">
        <v>60</v>
      </c>
      <c r="J335">
        <v>60</v>
      </c>
      <c r="K335">
        <v>50</v>
      </c>
      <c r="L335">
        <v>3</v>
      </c>
      <c r="M335" t="b">
        <v>0</v>
      </c>
      <c r="N335" t="b">
        <f t="shared" si="5"/>
        <v>0</v>
      </c>
    </row>
    <row r="336" spans="1:14" x14ac:dyDescent="0.25">
      <c r="A336">
        <v>307</v>
      </c>
      <c r="B336" s="1" t="s">
        <v>366</v>
      </c>
      <c r="C336" s="1" t="s">
        <v>87</v>
      </c>
      <c r="D336" s="1" t="s">
        <v>95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  <c r="N336" t="b">
        <f t="shared" si="5"/>
        <v>0</v>
      </c>
    </row>
    <row r="337" spans="1:14" x14ac:dyDescent="0.25">
      <c r="A337">
        <v>308</v>
      </c>
      <c r="B337" s="1" t="s">
        <v>367</v>
      </c>
      <c r="C337" s="1" t="s">
        <v>87</v>
      </c>
      <c r="D337" s="1" t="s">
        <v>95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  <c r="N337" t="b">
        <f t="shared" si="5"/>
        <v>0</v>
      </c>
    </row>
    <row r="338" spans="1:14" x14ac:dyDescent="0.25">
      <c r="A338">
        <v>308</v>
      </c>
      <c r="B338" s="1" t="s">
        <v>368</v>
      </c>
      <c r="C338" s="1" t="s">
        <v>87</v>
      </c>
      <c r="D338" s="1" t="s">
        <v>95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  <c r="N338" t="b">
        <f t="shared" si="5"/>
        <v>1</v>
      </c>
    </row>
    <row r="339" spans="1:14" x14ac:dyDescent="0.25">
      <c r="A339">
        <v>309</v>
      </c>
      <c r="B339" s="1" t="s">
        <v>369</v>
      </c>
      <c r="C339" s="1" t="s">
        <v>53</v>
      </c>
      <c r="D339" s="1" t="s">
        <v>21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  <c r="N339" t="b">
        <f t="shared" si="5"/>
        <v>0</v>
      </c>
    </row>
    <row r="340" spans="1:14" x14ac:dyDescent="0.25">
      <c r="A340">
        <v>310</v>
      </c>
      <c r="B340" s="1" t="s">
        <v>370</v>
      </c>
      <c r="C340" s="1" t="s">
        <v>53</v>
      </c>
      <c r="D340" s="1" t="s">
        <v>21</v>
      </c>
      <c r="E340">
        <v>575</v>
      </c>
      <c r="F340">
        <v>70</v>
      </c>
      <c r="G340">
        <v>75</v>
      </c>
      <c r="H340">
        <v>80</v>
      </c>
      <c r="I340">
        <v>135</v>
      </c>
      <c r="J340">
        <v>80</v>
      </c>
      <c r="K340">
        <v>135</v>
      </c>
      <c r="L340">
        <v>3</v>
      </c>
      <c r="M340" t="b">
        <v>0</v>
      </c>
      <c r="N340" t="b">
        <f t="shared" si="5"/>
        <v>1</v>
      </c>
    </row>
    <row r="341" spans="1:14" x14ac:dyDescent="0.25">
      <c r="A341">
        <v>310</v>
      </c>
      <c r="B341" s="1" t="s">
        <v>371</v>
      </c>
      <c r="C341" s="1" t="s">
        <v>53</v>
      </c>
      <c r="D341" s="1" t="s">
        <v>21</v>
      </c>
      <c r="E341">
        <v>475</v>
      </c>
      <c r="F341">
        <v>70</v>
      </c>
      <c r="G341">
        <v>75</v>
      </c>
      <c r="H341">
        <v>60</v>
      </c>
      <c r="I341">
        <v>105</v>
      </c>
      <c r="J341">
        <v>60</v>
      </c>
      <c r="K341">
        <v>105</v>
      </c>
      <c r="L341">
        <v>3</v>
      </c>
      <c r="M341" t="b">
        <v>0</v>
      </c>
      <c r="N341" t="b">
        <f t="shared" si="5"/>
        <v>0</v>
      </c>
    </row>
    <row r="342" spans="1:14" x14ac:dyDescent="0.25">
      <c r="A342">
        <v>311</v>
      </c>
      <c r="B342" s="1" t="s">
        <v>372</v>
      </c>
      <c r="C342" s="1" t="s">
        <v>53</v>
      </c>
      <c r="D342" s="1" t="s">
        <v>21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  <c r="N342" t="b">
        <f t="shared" si="5"/>
        <v>0</v>
      </c>
    </row>
    <row r="343" spans="1:14" x14ac:dyDescent="0.25">
      <c r="A343">
        <v>312</v>
      </c>
      <c r="B343" s="1" t="s">
        <v>373</v>
      </c>
      <c r="C343" s="1" t="s">
        <v>53</v>
      </c>
      <c r="D343" s="1" t="s">
        <v>21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  <c r="N343" t="b">
        <f t="shared" si="5"/>
        <v>0</v>
      </c>
    </row>
    <row r="344" spans="1:14" x14ac:dyDescent="0.25">
      <c r="A344">
        <v>313</v>
      </c>
      <c r="B344" s="1" t="s">
        <v>374</v>
      </c>
      <c r="C344" s="1" t="s">
        <v>34</v>
      </c>
      <c r="D344" s="1" t="s">
        <v>21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  <c r="N344" t="b">
        <f t="shared" si="5"/>
        <v>0</v>
      </c>
    </row>
    <row r="345" spans="1:14" x14ac:dyDescent="0.25">
      <c r="A345">
        <v>314</v>
      </c>
      <c r="B345" s="1" t="s">
        <v>375</v>
      </c>
      <c r="C345" s="1" t="s">
        <v>34</v>
      </c>
      <c r="D345" s="1" t="s">
        <v>21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  <c r="N345" t="b">
        <f t="shared" si="5"/>
        <v>0</v>
      </c>
    </row>
    <row r="346" spans="1:14" x14ac:dyDescent="0.25">
      <c r="A346">
        <v>315</v>
      </c>
      <c r="B346" s="1" t="s">
        <v>376</v>
      </c>
      <c r="C346" s="1" t="s">
        <v>14</v>
      </c>
      <c r="D346" s="1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  <c r="N346" t="b">
        <f t="shared" si="5"/>
        <v>0</v>
      </c>
    </row>
    <row r="347" spans="1:14" x14ac:dyDescent="0.25">
      <c r="A347">
        <v>316</v>
      </c>
      <c r="B347" s="1" t="s">
        <v>377</v>
      </c>
      <c r="C347" s="1" t="s">
        <v>15</v>
      </c>
      <c r="D347" s="1" t="s">
        <v>21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  <c r="N347" t="b">
        <f t="shared" si="5"/>
        <v>0</v>
      </c>
    </row>
    <row r="348" spans="1:14" x14ac:dyDescent="0.25">
      <c r="A348">
        <v>317</v>
      </c>
      <c r="B348" s="1" t="s">
        <v>378</v>
      </c>
      <c r="C348" s="1" t="s">
        <v>15</v>
      </c>
      <c r="D348" s="1" t="s">
        <v>21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  <c r="N348" t="b">
        <f t="shared" si="5"/>
        <v>0</v>
      </c>
    </row>
    <row r="349" spans="1:14" x14ac:dyDescent="0.25">
      <c r="A349">
        <v>318</v>
      </c>
      <c r="B349" s="1" t="s">
        <v>379</v>
      </c>
      <c r="C349" s="1" t="s">
        <v>29</v>
      </c>
      <c r="D349" s="1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  <c r="N349" t="b">
        <f t="shared" si="5"/>
        <v>0</v>
      </c>
    </row>
    <row r="350" spans="1:14" x14ac:dyDescent="0.25">
      <c r="A350">
        <v>319</v>
      </c>
      <c r="B350" s="1" t="s">
        <v>380</v>
      </c>
      <c r="C350" s="1" t="s">
        <v>29</v>
      </c>
      <c r="D350" s="1" t="s">
        <v>172</v>
      </c>
      <c r="E350">
        <v>560</v>
      </c>
      <c r="F350">
        <v>70</v>
      </c>
      <c r="G350">
        <v>140</v>
      </c>
      <c r="H350">
        <v>70</v>
      </c>
      <c r="I350">
        <v>110</v>
      </c>
      <c r="J350">
        <v>65</v>
      </c>
      <c r="K350">
        <v>105</v>
      </c>
      <c r="L350">
        <v>3</v>
      </c>
      <c r="M350" t="b">
        <v>0</v>
      </c>
      <c r="N350" t="b">
        <f t="shared" si="5"/>
        <v>1</v>
      </c>
    </row>
    <row r="351" spans="1:14" x14ac:dyDescent="0.25">
      <c r="A351">
        <v>319</v>
      </c>
      <c r="B351" s="1" t="s">
        <v>381</v>
      </c>
      <c r="C351" s="1" t="s">
        <v>29</v>
      </c>
      <c r="D351" s="1" t="s">
        <v>172</v>
      </c>
      <c r="E351">
        <v>460</v>
      </c>
      <c r="F351">
        <v>70</v>
      </c>
      <c r="G351">
        <v>120</v>
      </c>
      <c r="H351">
        <v>40</v>
      </c>
      <c r="I351">
        <v>95</v>
      </c>
      <c r="J351">
        <v>40</v>
      </c>
      <c r="K351">
        <v>95</v>
      </c>
      <c r="L351">
        <v>3</v>
      </c>
      <c r="M351" t="b">
        <v>0</v>
      </c>
      <c r="N351" t="b">
        <f t="shared" si="5"/>
        <v>0</v>
      </c>
    </row>
    <row r="352" spans="1:14" x14ac:dyDescent="0.25">
      <c r="A352">
        <v>320</v>
      </c>
      <c r="B352" s="1" t="s">
        <v>382</v>
      </c>
      <c r="C352" s="1" t="s">
        <v>29</v>
      </c>
      <c r="D352" s="1" t="s">
        <v>21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  <c r="N352" t="b">
        <f t="shared" si="5"/>
        <v>0</v>
      </c>
    </row>
    <row r="353" spans="1:14" x14ac:dyDescent="0.25">
      <c r="A353">
        <v>321</v>
      </c>
      <c r="B353" s="1" t="s">
        <v>383</v>
      </c>
      <c r="C353" s="1" t="s">
        <v>29</v>
      </c>
      <c r="D353" s="1" t="s">
        <v>21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  <c r="N353" t="b">
        <f t="shared" si="5"/>
        <v>0</v>
      </c>
    </row>
    <row r="354" spans="1:14" x14ac:dyDescent="0.25">
      <c r="A354">
        <v>322</v>
      </c>
      <c r="B354" s="1" t="s">
        <v>384</v>
      </c>
      <c r="C354" s="1" t="s">
        <v>20</v>
      </c>
      <c r="D354" s="1" t="s">
        <v>56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  <c r="N354" t="b">
        <f t="shared" si="5"/>
        <v>0</v>
      </c>
    </row>
    <row r="355" spans="1:14" x14ac:dyDescent="0.25">
      <c r="A355">
        <v>323</v>
      </c>
      <c r="B355" s="1" t="s">
        <v>385</v>
      </c>
      <c r="C355" s="1" t="s">
        <v>20</v>
      </c>
      <c r="D355" s="1" t="s">
        <v>56</v>
      </c>
      <c r="E355">
        <v>560</v>
      </c>
      <c r="F355">
        <v>70</v>
      </c>
      <c r="G355">
        <v>120</v>
      </c>
      <c r="H355">
        <v>100</v>
      </c>
      <c r="I355">
        <v>145</v>
      </c>
      <c r="J355">
        <v>105</v>
      </c>
      <c r="K355">
        <v>20</v>
      </c>
      <c r="L355">
        <v>3</v>
      </c>
      <c r="M355" t="b">
        <v>0</v>
      </c>
      <c r="N355" t="b">
        <f t="shared" si="5"/>
        <v>1</v>
      </c>
    </row>
    <row r="356" spans="1:14" x14ac:dyDescent="0.25">
      <c r="A356">
        <v>323</v>
      </c>
      <c r="B356" s="1" t="s">
        <v>386</v>
      </c>
      <c r="C356" s="1" t="s">
        <v>20</v>
      </c>
      <c r="D356" s="1" t="s">
        <v>56</v>
      </c>
      <c r="E356">
        <v>460</v>
      </c>
      <c r="F356">
        <v>70</v>
      </c>
      <c r="G356">
        <v>100</v>
      </c>
      <c r="H356">
        <v>70</v>
      </c>
      <c r="I356">
        <v>105</v>
      </c>
      <c r="J356">
        <v>75</v>
      </c>
      <c r="K356">
        <v>40</v>
      </c>
      <c r="L356">
        <v>3</v>
      </c>
      <c r="M356" t="b">
        <v>0</v>
      </c>
      <c r="N356" t="b">
        <f t="shared" si="5"/>
        <v>0</v>
      </c>
    </row>
    <row r="357" spans="1:14" x14ac:dyDescent="0.25">
      <c r="A357">
        <v>324</v>
      </c>
      <c r="B357" s="1" t="s">
        <v>387</v>
      </c>
      <c r="C357" s="1" t="s">
        <v>20</v>
      </c>
      <c r="D357" s="1" t="s">
        <v>21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  <c r="N357" t="b">
        <f t="shared" si="5"/>
        <v>0</v>
      </c>
    </row>
    <row r="358" spans="1:14" x14ac:dyDescent="0.25">
      <c r="A358">
        <v>325</v>
      </c>
      <c r="B358" s="1" t="s">
        <v>388</v>
      </c>
      <c r="C358" s="1" t="s">
        <v>95</v>
      </c>
      <c r="D358" s="1" t="s">
        <v>21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  <c r="N358" t="b">
        <f t="shared" si="5"/>
        <v>0</v>
      </c>
    </row>
    <row r="359" spans="1:14" x14ac:dyDescent="0.25">
      <c r="A359">
        <v>326</v>
      </c>
      <c r="B359" s="1" t="s">
        <v>389</v>
      </c>
      <c r="C359" s="1" t="s">
        <v>95</v>
      </c>
      <c r="D359" s="1" t="s">
        <v>21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  <c r="N359" t="b">
        <f t="shared" si="5"/>
        <v>0</v>
      </c>
    </row>
    <row r="360" spans="1:14" x14ac:dyDescent="0.25">
      <c r="A360">
        <v>327</v>
      </c>
      <c r="B360" s="1" t="s">
        <v>390</v>
      </c>
      <c r="C360" s="1" t="s">
        <v>42</v>
      </c>
      <c r="D360" s="1" t="s">
        <v>21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  <c r="N360" t="b">
        <f t="shared" si="5"/>
        <v>0</v>
      </c>
    </row>
    <row r="361" spans="1:14" x14ac:dyDescent="0.25">
      <c r="A361">
        <v>328</v>
      </c>
      <c r="B361" s="1" t="s">
        <v>391</v>
      </c>
      <c r="C361" s="1" t="s">
        <v>56</v>
      </c>
      <c r="D361" s="1" t="s">
        <v>21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  <c r="N361" t="b">
        <f t="shared" si="5"/>
        <v>0</v>
      </c>
    </row>
    <row r="362" spans="1:14" x14ac:dyDescent="0.25">
      <c r="A362">
        <v>329</v>
      </c>
      <c r="B362" s="1" t="s">
        <v>392</v>
      </c>
      <c r="C362" s="1" t="s">
        <v>56</v>
      </c>
      <c r="D362" s="1" t="s">
        <v>26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  <c r="N362" t="b">
        <f t="shared" si="5"/>
        <v>0</v>
      </c>
    </row>
    <row r="363" spans="1:14" x14ac:dyDescent="0.25">
      <c r="A363">
        <v>330</v>
      </c>
      <c r="B363" s="1" t="s">
        <v>393</v>
      </c>
      <c r="C363" s="1" t="s">
        <v>56</v>
      </c>
      <c r="D363" s="1" t="s">
        <v>26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  <c r="N363" t="b">
        <f t="shared" si="5"/>
        <v>0</v>
      </c>
    </row>
    <row r="364" spans="1:14" x14ac:dyDescent="0.25">
      <c r="A364">
        <v>331</v>
      </c>
      <c r="B364" s="1" t="s">
        <v>394</v>
      </c>
      <c r="C364" s="1" t="s">
        <v>14</v>
      </c>
      <c r="D364" s="1" t="s">
        <v>21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  <c r="N364" t="b">
        <f t="shared" si="5"/>
        <v>0</v>
      </c>
    </row>
    <row r="365" spans="1:14" x14ac:dyDescent="0.25">
      <c r="A365">
        <v>332</v>
      </c>
      <c r="B365" s="1" t="s">
        <v>395</v>
      </c>
      <c r="C365" s="1" t="s">
        <v>14</v>
      </c>
      <c r="D365" s="1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  <c r="N365" t="b">
        <f t="shared" si="5"/>
        <v>0</v>
      </c>
    </row>
    <row r="366" spans="1:14" x14ac:dyDescent="0.25">
      <c r="A366">
        <v>333</v>
      </c>
      <c r="B366" s="1" t="s">
        <v>396</v>
      </c>
      <c r="C366" s="1" t="s">
        <v>42</v>
      </c>
      <c r="D366" s="1" t="s">
        <v>24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  <c r="N366" t="b">
        <f t="shared" si="5"/>
        <v>0</v>
      </c>
    </row>
    <row r="367" spans="1:14" x14ac:dyDescent="0.25">
      <c r="A367">
        <v>334</v>
      </c>
      <c r="B367" s="1" t="s">
        <v>397</v>
      </c>
      <c r="C367" s="1" t="s">
        <v>26</v>
      </c>
      <c r="D367" s="1" t="s">
        <v>65</v>
      </c>
      <c r="E367">
        <v>590</v>
      </c>
      <c r="F367">
        <v>75</v>
      </c>
      <c r="G367">
        <v>110</v>
      </c>
      <c r="H367">
        <v>110</v>
      </c>
      <c r="I367">
        <v>110</v>
      </c>
      <c r="J367">
        <v>105</v>
      </c>
      <c r="K367">
        <v>80</v>
      </c>
      <c r="L367">
        <v>3</v>
      </c>
      <c r="M367" t="b">
        <v>0</v>
      </c>
      <c r="N367" t="b">
        <f t="shared" si="5"/>
        <v>1</v>
      </c>
    </row>
    <row r="368" spans="1:14" x14ac:dyDescent="0.25">
      <c r="A368">
        <v>334</v>
      </c>
      <c r="B368" s="1" t="s">
        <v>398</v>
      </c>
      <c r="C368" s="1" t="s">
        <v>26</v>
      </c>
      <c r="D368" s="1" t="s">
        <v>24</v>
      </c>
      <c r="E368">
        <v>490</v>
      </c>
      <c r="F368">
        <v>75</v>
      </c>
      <c r="G368">
        <v>70</v>
      </c>
      <c r="H368">
        <v>90</v>
      </c>
      <c r="I368">
        <v>70</v>
      </c>
      <c r="J368">
        <v>105</v>
      </c>
      <c r="K368">
        <v>80</v>
      </c>
      <c r="L368">
        <v>3</v>
      </c>
      <c r="M368" t="b">
        <v>0</v>
      </c>
      <c r="N368" t="b">
        <f t="shared" si="5"/>
        <v>0</v>
      </c>
    </row>
    <row r="369" spans="1:14" x14ac:dyDescent="0.25">
      <c r="A369">
        <v>335</v>
      </c>
      <c r="B369" s="1" t="s">
        <v>399</v>
      </c>
      <c r="C369" s="1" t="s">
        <v>42</v>
      </c>
      <c r="D369" s="1" t="s">
        <v>21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  <c r="N369" t="b">
        <f t="shared" si="5"/>
        <v>0</v>
      </c>
    </row>
    <row r="370" spans="1:14" x14ac:dyDescent="0.25">
      <c r="A370">
        <v>336</v>
      </c>
      <c r="B370" s="1" t="s">
        <v>400</v>
      </c>
      <c r="C370" s="1" t="s">
        <v>15</v>
      </c>
      <c r="D370" s="1" t="s">
        <v>21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  <c r="N370" t="b">
        <f t="shared" si="5"/>
        <v>0</v>
      </c>
    </row>
    <row r="371" spans="1:14" x14ac:dyDescent="0.25">
      <c r="A371">
        <v>337</v>
      </c>
      <c r="B371" s="1" t="s">
        <v>401</v>
      </c>
      <c r="C371" s="1" t="s">
        <v>108</v>
      </c>
      <c r="D371" s="1" t="s">
        <v>95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  <c r="N371" t="b">
        <f t="shared" si="5"/>
        <v>0</v>
      </c>
    </row>
    <row r="372" spans="1:14" x14ac:dyDescent="0.25">
      <c r="A372">
        <v>338</v>
      </c>
      <c r="B372" s="1" t="s">
        <v>402</v>
      </c>
      <c r="C372" s="1" t="s">
        <v>108</v>
      </c>
      <c r="D372" s="1" t="s">
        <v>95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  <c r="N372" t="b">
        <f t="shared" si="5"/>
        <v>0</v>
      </c>
    </row>
    <row r="373" spans="1:14" x14ac:dyDescent="0.25">
      <c r="A373">
        <v>339</v>
      </c>
      <c r="B373" s="1" t="s">
        <v>403</v>
      </c>
      <c r="C373" s="1" t="s">
        <v>29</v>
      </c>
      <c r="D373" s="1" t="s">
        <v>56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  <c r="N373" t="b">
        <f t="shared" si="5"/>
        <v>0</v>
      </c>
    </row>
    <row r="374" spans="1:14" x14ac:dyDescent="0.25">
      <c r="A374">
        <v>340</v>
      </c>
      <c r="B374" s="1" t="s">
        <v>404</v>
      </c>
      <c r="C374" s="1" t="s">
        <v>29</v>
      </c>
      <c r="D374" s="1" t="s">
        <v>56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  <c r="N374" t="b">
        <f t="shared" si="5"/>
        <v>0</v>
      </c>
    </row>
    <row r="375" spans="1:14" x14ac:dyDescent="0.25">
      <c r="A375">
        <v>341</v>
      </c>
      <c r="B375" s="1" t="s">
        <v>405</v>
      </c>
      <c r="C375" s="1" t="s">
        <v>29</v>
      </c>
      <c r="D375" s="1" t="s">
        <v>21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  <c r="N375" t="b">
        <f t="shared" si="5"/>
        <v>0</v>
      </c>
    </row>
    <row r="376" spans="1:14" x14ac:dyDescent="0.25">
      <c r="A376">
        <v>342</v>
      </c>
      <c r="B376" s="1" t="s">
        <v>406</v>
      </c>
      <c r="C376" s="1" t="s">
        <v>29</v>
      </c>
      <c r="D376" s="1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  <c r="N376" t="b">
        <f t="shared" si="5"/>
        <v>0</v>
      </c>
    </row>
    <row r="377" spans="1:14" x14ac:dyDescent="0.25">
      <c r="A377">
        <v>343</v>
      </c>
      <c r="B377" s="1" t="s">
        <v>407</v>
      </c>
      <c r="C377" s="1" t="s">
        <v>56</v>
      </c>
      <c r="D377" s="1" t="s">
        <v>95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  <c r="N377" t="b">
        <f t="shared" si="5"/>
        <v>0</v>
      </c>
    </row>
    <row r="378" spans="1:14" x14ac:dyDescent="0.25">
      <c r="A378">
        <v>344</v>
      </c>
      <c r="B378" s="1" t="s">
        <v>408</v>
      </c>
      <c r="C378" s="1" t="s">
        <v>56</v>
      </c>
      <c r="D378" s="1" t="s">
        <v>95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  <c r="N378" t="b">
        <f t="shared" si="5"/>
        <v>0</v>
      </c>
    </row>
    <row r="379" spans="1:14" x14ac:dyDescent="0.25">
      <c r="A379">
        <v>345</v>
      </c>
      <c r="B379" s="1" t="s">
        <v>409</v>
      </c>
      <c r="C379" s="1" t="s">
        <v>108</v>
      </c>
      <c r="D379" s="1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  <c r="N379" t="b">
        <f t="shared" si="5"/>
        <v>0</v>
      </c>
    </row>
    <row r="380" spans="1:14" x14ac:dyDescent="0.25">
      <c r="A380">
        <v>346</v>
      </c>
      <c r="B380" s="1" t="s">
        <v>410</v>
      </c>
      <c r="C380" s="1" t="s">
        <v>108</v>
      </c>
      <c r="D380" s="1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  <c r="N380" t="b">
        <f t="shared" si="5"/>
        <v>0</v>
      </c>
    </row>
    <row r="381" spans="1:14" x14ac:dyDescent="0.25">
      <c r="A381">
        <v>347</v>
      </c>
      <c r="B381" s="1" t="s">
        <v>411</v>
      </c>
      <c r="C381" s="1" t="s">
        <v>108</v>
      </c>
      <c r="D381" s="1" t="s">
        <v>34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  <c r="N381" t="b">
        <f t="shared" si="5"/>
        <v>0</v>
      </c>
    </row>
    <row r="382" spans="1:14" x14ac:dyDescent="0.25">
      <c r="A382">
        <v>348</v>
      </c>
      <c r="B382" s="1" t="s">
        <v>412</v>
      </c>
      <c r="C382" s="1" t="s">
        <v>108</v>
      </c>
      <c r="D382" s="1" t="s">
        <v>34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  <c r="N382" t="b">
        <f t="shared" si="5"/>
        <v>0</v>
      </c>
    </row>
    <row r="383" spans="1:14" x14ac:dyDescent="0.25">
      <c r="A383">
        <v>349</v>
      </c>
      <c r="B383" s="1" t="s">
        <v>413</v>
      </c>
      <c r="C383" s="1" t="s">
        <v>29</v>
      </c>
      <c r="D383" s="1" t="s">
        <v>21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  <c r="N383" t="b">
        <f t="shared" si="5"/>
        <v>0</v>
      </c>
    </row>
    <row r="384" spans="1:14" x14ac:dyDescent="0.25">
      <c r="A384">
        <v>350</v>
      </c>
      <c r="B384" s="1" t="s">
        <v>414</v>
      </c>
      <c r="C384" s="1" t="s">
        <v>29</v>
      </c>
      <c r="D384" s="1" t="s">
        <v>21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  <c r="N384" t="b">
        <f t="shared" si="5"/>
        <v>0</v>
      </c>
    </row>
    <row r="385" spans="1:14" x14ac:dyDescent="0.25">
      <c r="A385">
        <v>351</v>
      </c>
      <c r="B385" s="1" t="s">
        <v>415</v>
      </c>
      <c r="C385" s="1" t="s">
        <v>42</v>
      </c>
      <c r="D385" s="1" t="s">
        <v>21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  <c r="N385" t="b">
        <f t="shared" si="5"/>
        <v>0</v>
      </c>
    </row>
    <row r="386" spans="1:14" x14ac:dyDescent="0.25">
      <c r="A386">
        <v>352</v>
      </c>
      <c r="B386" s="1" t="s">
        <v>416</v>
      </c>
      <c r="C386" s="1" t="s">
        <v>42</v>
      </c>
      <c r="D386" s="1" t="s">
        <v>21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  <c r="N386" t="b">
        <f t="shared" ref="N386:N449" si="6">COUNTIF(B386,"*Mega*")&gt;0</f>
        <v>0</v>
      </c>
    </row>
    <row r="387" spans="1:14" x14ac:dyDescent="0.25">
      <c r="A387">
        <v>353</v>
      </c>
      <c r="B387" s="1" t="s">
        <v>417</v>
      </c>
      <c r="C387" s="1" t="s">
        <v>130</v>
      </c>
      <c r="D387" s="1" t="s">
        <v>21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  <c r="N387" t="b">
        <f t="shared" si="6"/>
        <v>0</v>
      </c>
    </row>
    <row r="388" spans="1:14" x14ac:dyDescent="0.25">
      <c r="A388">
        <v>354</v>
      </c>
      <c r="B388" s="1" t="s">
        <v>418</v>
      </c>
      <c r="C388" s="1" t="s">
        <v>130</v>
      </c>
      <c r="D388" s="1" t="s">
        <v>21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  <c r="N388" t="b">
        <f t="shared" si="6"/>
        <v>0</v>
      </c>
    </row>
    <row r="389" spans="1:14" x14ac:dyDescent="0.25">
      <c r="A389">
        <v>354</v>
      </c>
      <c r="B389" s="1" t="s">
        <v>419</v>
      </c>
      <c r="C389" s="1" t="s">
        <v>130</v>
      </c>
      <c r="D389" s="1" t="s">
        <v>21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  <c r="N389" t="b">
        <f t="shared" si="6"/>
        <v>1</v>
      </c>
    </row>
    <row r="390" spans="1:14" x14ac:dyDescent="0.25">
      <c r="A390">
        <v>355</v>
      </c>
      <c r="B390" s="1" t="s">
        <v>420</v>
      </c>
      <c r="C390" s="1" t="s">
        <v>130</v>
      </c>
      <c r="D390" s="1" t="s">
        <v>21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  <c r="N390" t="b">
        <f t="shared" si="6"/>
        <v>0</v>
      </c>
    </row>
    <row r="391" spans="1:14" x14ac:dyDescent="0.25">
      <c r="A391">
        <v>356</v>
      </c>
      <c r="B391" s="1" t="s">
        <v>421</v>
      </c>
      <c r="C391" s="1" t="s">
        <v>130</v>
      </c>
      <c r="D391" s="1" t="s">
        <v>21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  <c r="N391" t="b">
        <f t="shared" si="6"/>
        <v>0</v>
      </c>
    </row>
    <row r="392" spans="1:14" x14ac:dyDescent="0.25">
      <c r="A392">
        <v>357</v>
      </c>
      <c r="B392" s="1" t="s">
        <v>422</v>
      </c>
      <c r="C392" s="1" t="s">
        <v>14</v>
      </c>
      <c r="D392" s="1" t="s">
        <v>24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  <c r="N392" t="b">
        <f t="shared" si="6"/>
        <v>0</v>
      </c>
    </row>
    <row r="393" spans="1:14" x14ac:dyDescent="0.25">
      <c r="A393">
        <v>358</v>
      </c>
      <c r="B393" s="1" t="s">
        <v>423</v>
      </c>
      <c r="C393" s="1" t="s">
        <v>95</v>
      </c>
      <c r="D393" s="1" t="s">
        <v>21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  <c r="N393" t="b">
        <f t="shared" si="6"/>
        <v>0</v>
      </c>
    </row>
    <row r="394" spans="1:14" x14ac:dyDescent="0.25">
      <c r="A394">
        <v>359</v>
      </c>
      <c r="B394" s="1" t="s">
        <v>424</v>
      </c>
      <c r="C394" s="1" t="s">
        <v>172</v>
      </c>
      <c r="D394" s="1" t="s">
        <v>21</v>
      </c>
      <c r="E394">
        <v>565</v>
      </c>
      <c r="F394">
        <v>65</v>
      </c>
      <c r="G394">
        <v>150</v>
      </c>
      <c r="H394">
        <v>60</v>
      </c>
      <c r="I394">
        <v>115</v>
      </c>
      <c r="J394">
        <v>60</v>
      </c>
      <c r="K394">
        <v>115</v>
      </c>
      <c r="L394">
        <v>3</v>
      </c>
      <c r="M394" t="b">
        <v>0</v>
      </c>
      <c r="N394" t="b">
        <f t="shared" si="6"/>
        <v>1</v>
      </c>
    </row>
    <row r="395" spans="1:14" x14ac:dyDescent="0.25">
      <c r="A395">
        <v>359</v>
      </c>
      <c r="B395" s="1" t="s">
        <v>425</v>
      </c>
      <c r="C395" s="1" t="s">
        <v>172</v>
      </c>
      <c r="D395" s="1" t="s">
        <v>21</v>
      </c>
      <c r="E395">
        <v>465</v>
      </c>
      <c r="F395">
        <v>65</v>
      </c>
      <c r="G395">
        <v>130</v>
      </c>
      <c r="H395">
        <v>60</v>
      </c>
      <c r="I395">
        <v>75</v>
      </c>
      <c r="J395">
        <v>60</v>
      </c>
      <c r="K395">
        <v>75</v>
      </c>
      <c r="L395">
        <v>3</v>
      </c>
      <c r="M395" t="b">
        <v>0</v>
      </c>
      <c r="N395" t="b">
        <f t="shared" si="6"/>
        <v>0</v>
      </c>
    </row>
    <row r="396" spans="1:14" x14ac:dyDescent="0.25">
      <c r="A396">
        <v>360</v>
      </c>
      <c r="B396" s="1" t="s">
        <v>426</v>
      </c>
      <c r="C396" s="1" t="s">
        <v>95</v>
      </c>
      <c r="D396" s="1" t="s">
        <v>21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  <c r="N396" t="b">
        <f t="shared" si="6"/>
        <v>0</v>
      </c>
    </row>
    <row r="397" spans="1:14" x14ac:dyDescent="0.25">
      <c r="A397">
        <v>361</v>
      </c>
      <c r="B397" s="1" t="s">
        <v>427</v>
      </c>
      <c r="C397" s="1" t="s">
        <v>124</v>
      </c>
      <c r="D397" s="1" t="s">
        <v>21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  <c r="N397" t="b">
        <f t="shared" si="6"/>
        <v>0</v>
      </c>
    </row>
    <row r="398" spans="1:14" x14ac:dyDescent="0.25">
      <c r="A398">
        <v>362</v>
      </c>
      <c r="B398" s="1" t="s">
        <v>428</v>
      </c>
      <c r="C398" s="1" t="s">
        <v>124</v>
      </c>
      <c r="D398" s="1" t="s">
        <v>21</v>
      </c>
      <c r="E398">
        <v>580</v>
      </c>
      <c r="F398">
        <v>80</v>
      </c>
      <c r="G398">
        <v>120</v>
      </c>
      <c r="H398">
        <v>80</v>
      </c>
      <c r="I398">
        <v>120</v>
      </c>
      <c r="J398">
        <v>80</v>
      </c>
      <c r="K398">
        <v>100</v>
      </c>
      <c r="L398">
        <v>3</v>
      </c>
      <c r="M398" t="b">
        <v>0</v>
      </c>
      <c r="N398" t="b">
        <f t="shared" si="6"/>
        <v>1</v>
      </c>
    </row>
    <row r="399" spans="1:14" x14ac:dyDescent="0.25">
      <c r="A399">
        <v>362</v>
      </c>
      <c r="B399" s="1" t="s">
        <v>429</v>
      </c>
      <c r="C399" s="1" t="s">
        <v>124</v>
      </c>
      <c r="D399" s="1" t="s">
        <v>21</v>
      </c>
      <c r="E399">
        <v>480</v>
      </c>
      <c r="F399">
        <v>80</v>
      </c>
      <c r="G399">
        <v>80</v>
      </c>
      <c r="H399">
        <v>80</v>
      </c>
      <c r="I399">
        <v>80</v>
      </c>
      <c r="J399">
        <v>80</v>
      </c>
      <c r="K399">
        <v>80</v>
      </c>
      <c r="L399">
        <v>3</v>
      </c>
      <c r="M399" t="b">
        <v>0</v>
      </c>
      <c r="N399" t="b">
        <f t="shared" si="6"/>
        <v>0</v>
      </c>
    </row>
    <row r="400" spans="1:14" x14ac:dyDescent="0.25">
      <c r="A400">
        <v>363</v>
      </c>
      <c r="B400" s="1" t="s">
        <v>430</v>
      </c>
      <c r="C400" s="1" t="s">
        <v>124</v>
      </c>
      <c r="D400" s="1" t="s">
        <v>29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  <c r="N400" t="b">
        <f t="shared" si="6"/>
        <v>0</v>
      </c>
    </row>
    <row r="401" spans="1:14" x14ac:dyDescent="0.25">
      <c r="A401">
        <v>364</v>
      </c>
      <c r="B401" s="1" t="s">
        <v>431</v>
      </c>
      <c r="C401" s="1" t="s">
        <v>124</v>
      </c>
      <c r="D401" s="1" t="s">
        <v>29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  <c r="N401" t="b">
        <f t="shared" si="6"/>
        <v>0</v>
      </c>
    </row>
    <row r="402" spans="1:14" x14ac:dyDescent="0.25">
      <c r="A402">
        <v>365</v>
      </c>
      <c r="B402" s="1" t="s">
        <v>432</v>
      </c>
      <c r="C402" s="1" t="s">
        <v>124</v>
      </c>
      <c r="D402" s="1" t="s">
        <v>29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  <c r="N402" t="b">
        <f t="shared" si="6"/>
        <v>0</v>
      </c>
    </row>
    <row r="403" spans="1:14" x14ac:dyDescent="0.25">
      <c r="A403">
        <v>366</v>
      </c>
      <c r="B403" s="1" t="s">
        <v>433</v>
      </c>
      <c r="C403" s="1" t="s">
        <v>29</v>
      </c>
      <c r="D403" s="1" t="s">
        <v>21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  <c r="N403" t="b">
        <f t="shared" si="6"/>
        <v>0</v>
      </c>
    </row>
    <row r="404" spans="1:14" x14ac:dyDescent="0.25">
      <c r="A404">
        <v>367</v>
      </c>
      <c r="B404" s="1" t="s">
        <v>434</v>
      </c>
      <c r="C404" s="1" t="s">
        <v>29</v>
      </c>
      <c r="D404" s="1" t="s">
        <v>21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  <c r="N404" t="b">
        <f t="shared" si="6"/>
        <v>0</v>
      </c>
    </row>
    <row r="405" spans="1:14" x14ac:dyDescent="0.25">
      <c r="A405">
        <v>368</v>
      </c>
      <c r="B405" s="1" t="s">
        <v>435</v>
      </c>
      <c r="C405" s="1" t="s">
        <v>29</v>
      </c>
      <c r="D405" s="1" t="s">
        <v>21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  <c r="N405" t="b">
        <f t="shared" si="6"/>
        <v>0</v>
      </c>
    </row>
    <row r="406" spans="1:14" x14ac:dyDescent="0.25">
      <c r="A406">
        <v>369</v>
      </c>
      <c r="B406" s="1" t="s">
        <v>436</v>
      </c>
      <c r="C406" s="1" t="s">
        <v>29</v>
      </c>
      <c r="D406" s="1" t="s">
        <v>108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  <c r="N406" t="b">
        <f t="shared" si="6"/>
        <v>0</v>
      </c>
    </row>
    <row r="407" spans="1:14" x14ac:dyDescent="0.25">
      <c r="A407">
        <v>370</v>
      </c>
      <c r="B407" s="1" t="s">
        <v>437</v>
      </c>
      <c r="C407" s="1" t="s">
        <v>29</v>
      </c>
      <c r="D407" s="1" t="s">
        <v>21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  <c r="N407" t="b">
        <f t="shared" si="6"/>
        <v>0</v>
      </c>
    </row>
    <row r="408" spans="1:14" x14ac:dyDescent="0.25">
      <c r="A408">
        <v>371</v>
      </c>
      <c r="B408" s="1" t="s">
        <v>438</v>
      </c>
      <c r="C408" s="1" t="s">
        <v>26</v>
      </c>
      <c r="D408" s="1" t="s">
        <v>21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  <c r="N408" t="b">
        <f t="shared" si="6"/>
        <v>0</v>
      </c>
    </row>
    <row r="409" spans="1:14" x14ac:dyDescent="0.25">
      <c r="A409">
        <v>372</v>
      </c>
      <c r="B409" s="1" t="s">
        <v>439</v>
      </c>
      <c r="C409" s="1" t="s">
        <v>26</v>
      </c>
      <c r="D409" s="1" t="s">
        <v>21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  <c r="N409" t="b">
        <f t="shared" si="6"/>
        <v>0</v>
      </c>
    </row>
    <row r="410" spans="1:14" x14ac:dyDescent="0.25">
      <c r="A410">
        <v>373</v>
      </c>
      <c r="B410" s="1" t="s">
        <v>440</v>
      </c>
      <c r="C410" s="1" t="s">
        <v>26</v>
      </c>
      <c r="D410" s="1" t="s">
        <v>24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  <c r="N410" t="b">
        <f t="shared" si="6"/>
        <v>0</v>
      </c>
    </row>
    <row r="411" spans="1:14" x14ac:dyDescent="0.25">
      <c r="A411">
        <v>373</v>
      </c>
      <c r="B411" s="1" t="s">
        <v>441</v>
      </c>
      <c r="C411" s="1" t="s">
        <v>26</v>
      </c>
      <c r="D411" s="1" t="s">
        <v>24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  <c r="N411" t="b">
        <f t="shared" si="6"/>
        <v>1</v>
      </c>
    </row>
    <row r="412" spans="1:14" x14ac:dyDescent="0.25">
      <c r="A412">
        <v>374</v>
      </c>
      <c r="B412" s="1" t="s">
        <v>442</v>
      </c>
      <c r="C412" s="1" t="s">
        <v>117</v>
      </c>
      <c r="D412" s="1" t="s">
        <v>95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  <c r="N412" t="b">
        <f t="shared" si="6"/>
        <v>0</v>
      </c>
    </row>
    <row r="413" spans="1:14" x14ac:dyDescent="0.25">
      <c r="A413">
        <v>375</v>
      </c>
      <c r="B413" s="1" t="s">
        <v>443</v>
      </c>
      <c r="C413" s="1" t="s">
        <v>117</v>
      </c>
      <c r="D413" s="1" t="s">
        <v>95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  <c r="N413" t="b">
        <f t="shared" si="6"/>
        <v>0</v>
      </c>
    </row>
    <row r="414" spans="1:14" x14ac:dyDescent="0.25">
      <c r="A414">
        <v>376</v>
      </c>
      <c r="B414" s="1" t="s">
        <v>444</v>
      </c>
      <c r="C414" s="1" t="s">
        <v>117</v>
      </c>
      <c r="D414" s="1" t="s">
        <v>95</v>
      </c>
      <c r="E414">
        <v>700</v>
      </c>
      <c r="F414">
        <v>80</v>
      </c>
      <c r="G414">
        <v>145</v>
      </c>
      <c r="H414">
        <v>150</v>
      </c>
      <c r="I414">
        <v>105</v>
      </c>
      <c r="J414">
        <v>110</v>
      </c>
      <c r="K414">
        <v>110</v>
      </c>
      <c r="L414">
        <v>3</v>
      </c>
      <c r="M414" t="b">
        <v>0</v>
      </c>
      <c r="N414" t="b">
        <f t="shared" si="6"/>
        <v>1</v>
      </c>
    </row>
    <row r="415" spans="1:14" x14ac:dyDescent="0.25">
      <c r="A415">
        <v>376</v>
      </c>
      <c r="B415" s="1" t="s">
        <v>445</v>
      </c>
      <c r="C415" s="1" t="s">
        <v>117</v>
      </c>
      <c r="D415" s="1" t="s">
        <v>95</v>
      </c>
      <c r="E415">
        <v>600</v>
      </c>
      <c r="F415">
        <v>80</v>
      </c>
      <c r="G415">
        <v>135</v>
      </c>
      <c r="H415">
        <v>130</v>
      </c>
      <c r="I415">
        <v>95</v>
      </c>
      <c r="J415">
        <v>90</v>
      </c>
      <c r="K415">
        <v>70</v>
      </c>
      <c r="L415">
        <v>3</v>
      </c>
      <c r="M415" t="b">
        <v>0</v>
      </c>
      <c r="N415" t="b">
        <f t="shared" si="6"/>
        <v>0</v>
      </c>
    </row>
    <row r="416" spans="1:14" x14ac:dyDescent="0.25">
      <c r="A416">
        <v>377</v>
      </c>
      <c r="B416" s="1" t="s">
        <v>446</v>
      </c>
      <c r="C416" s="1" t="s">
        <v>108</v>
      </c>
      <c r="D416" s="1" t="s">
        <v>21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  <c r="N416" t="b">
        <f t="shared" si="6"/>
        <v>0</v>
      </c>
    </row>
    <row r="417" spans="1:14" x14ac:dyDescent="0.25">
      <c r="A417">
        <v>378</v>
      </c>
      <c r="B417" s="1" t="s">
        <v>447</v>
      </c>
      <c r="C417" s="1" t="s">
        <v>124</v>
      </c>
      <c r="D417" s="1" t="s">
        <v>21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  <c r="N417" t="b">
        <f t="shared" si="6"/>
        <v>0</v>
      </c>
    </row>
    <row r="418" spans="1:14" x14ac:dyDescent="0.25">
      <c r="A418">
        <v>379</v>
      </c>
      <c r="B418" s="1" t="s">
        <v>448</v>
      </c>
      <c r="C418" s="1" t="s">
        <v>117</v>
      </c>
      <c r="D418" s="1" t="s">
        <v>21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  <c r="N418" t="b">
        <f t="shared" si="6"/>
        <v>0</v>
      </c>
    </row>
    <row r="419" spans="1:14" x14ac:dyDescent="0.25">
      <c r="A419">
        <v>380</v>
      </c>
      <c r="B419" s="1" t="s">
        <v>449</v>
      </c>
      <c r="C419" s="1" t="s">
        <v>26</v>
      </c>
      <c r="D419" s="1" t="s">
        <v>95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  <c r="N419" t="b">
        <f t="shared" si="6"/>
        <v>0</v>
      </c>
    </row>
    <row r="420" spans="1:14" x14ac:dyDescent="0.25">
      <c r="A420">
        <v>380</v>
      </c>
      <c r="B420" s="1" t="s">
        <v>450</v>
      </c>
      <c r="C420" s="1" t="s">
        <v>26</v>
      </c>
      <c r="D420" s="1" t="s">
        <v>95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  <c r="N420" t="b">
        <f t="shared" si="6"/>
        <v>1</v>
      </c>
    </row>
    <row r="421" spans="1:14" x14ac:dyDescent="0.25">
      <c r="A421">
        <v>381</v>
      </c>
      <c r="B421" s="1" t="s">
        <v>451</v>
      </c>
      <c r="C421" s="1" t="s">
        <v>26</v>
      </c>
      <c r="D421" s="1" t="s">
        <v>95</v>
      </c>
      <c r="E421">
        <v>700</v>
      </c>
      <c r="F421">
        <v>80</v>
      </c>
      <c r="G421">
        <v>130</v>
      </c>
      <c r="H421">
        <v>100</v>
      </c>
      <c r="I421">
        <v>160</v>
      </c>
      <c r="J421">
        <v>120</v>
      </c>
      <c r="K421">
        <v>110</v>
      </c>
      <c r="L421">
        <v>3</v>
      </c>
      <c r="M421" t="b">
        <v>1</v>
      </c>
      <c r="N421" t="b">
        <f t="shared" si="6"/>
        <v>1</v>
      </c>
    </row>
    <row r="422" spans="1:14" x14ac:dyDescent="0.25">
      <c r="A422">
        <v>381</v>
      </c>
      <c r="B422" s="1" t="s">
        <v>452</v>
      </c>
      <c r="C422" s="1" t="s">
        <v>26</v>
      </c>
      <c r="D422" s="1" t="s">
        <v>95</v>
      </c>
      <c r="E422">
        <v>600</v>
      </c>
      <c r="F422">
        <v>80</v>
      </c>
      <c r="G422">
        <v>90</v>
      </c>
      <c r="H422">
        <v>80</v>
      </c>
      <c r="I422">
        <v>130</v>
      </c>
      <c r="J422">
        <v>110</v>
      </c>
      <c r="K422">
        <v>110</v>
      </c>
      <c r="L422">
        <v>3</v>
      </c>
      <c r="M422" t="b">
        <v>1</v>
      </c>
      <c r="N422" t="b">
        <f t="shared" si="6"/>
        <v>0</v>
      </c>
    </row>
    <row r="423" spans="1:14" x14ac:dyDescent="0.25">
      <c r="A423">
        <v>382</v>
      </c>
      <c r="B423" s="1" t="s">
        <v>453</v>
      </c>
      <c r="C423" s="1" t="s">
        <v>29</v>
      </c>
      <c r="D423" s="1" t="s">
        <v>21</v>
      </c>
      <c r="E423">
        <v>770</v>
      </c>
      <c r="F423">
        <v>100</v>
      </c>
      <c r="G423">
        <v>150</v>
      </c>
      <c r="H423">
        <v>90</v>
      </c>
      <c r="I423">
        <v>180</v>
      </c>
      <c r="J423">
        <v>160</v>
      </c>
      <c r="K423">
        <v>90</v>
      </c>
      <c r="L423">
        <v>3</v>
      </c>
      <c r="M423" t="b">
        <v>1</v>
      </c>
      <c r="N423" t="b">
        <f t="shared" si="6"/>
        <v>0</v>
      </c>
    </row>
    <row r="424" spans="1:14" x14ac:dyDescent="0.25">
      <c r="A424">
        <v>382</v>
      </c>
      <c r="B424" s="1" t="s">
        <v>454</v>
      </c>
      <c r="C424" s="1" t="s">
        <v>29</v>
      </c>
      <c r="D424" s="1" t="s">
        <v>21</v>
      </c>
      <c r="E424">
        <v>670</v>
      </c>
      <c r="F424">
        <v>100</v>
      </c>
      <c r="G424">
        <v>100</v>
      </c>
      <c r="H424">
        <v>90</v>
      </c>
      <c r="I424">
        <v>150</v>
      </c>
      <c r="J424">
        <v>140</v>
      </c>
      <c r="K424">
        <v>90</v>
      </c>
      <c r="L424">
        <v>3</v>
      </c>
      <c r="M424" t="b">
        <v>1</v>
      </c>
      <c r="N424" t="b">
        <f t="shared" si="6"/>
        <v>0</v>
      </c>
    </row>
    <row r="425" spans="1:14" x14ac:dyDescent="0.25">
      <c r="A425">
        <v>383</v>
      </c>
      <c r="B425" s="1" t="s">
        <v>455</v>
      </c>
      <c r="C425" s="1" t="s">
        <v>56</v>
      </c>
      <c r="D425" s="1" t="s">
        <v>20</v>
      </c>
      <c r="E425">
        <v>770</v>
      </c>
      <c r="F425">
        <v>100</v>
      </c>
      <c r="G425">
        <v>180</v>
      </c>
      <c r="H425">
        <v>160</v>
      </c>
      <c r="I425">
        <v>150</v>
      </c>
      <c r="J425">
        <v>90</v>
      </c>
      <c r="K425">
        <v>90</v>
      </c>
      <c r="L425">
        <v>3</v>
      </c>
      <c r="M425" t="b">
        <v>1</v>
      </c>
      <c r="N425" t="b">
        <f t="shared" si="6"/>
        <v>0</v>
      </c>
    </row>
    <row r="426" spans="1:14" x14ac:dyDescent="0.25">
      <c r="A426">
        <v>383</v>
      </c>
      <c r="B426" s="1" t="s">
        <v>456</v>
      </c>
      <c r="C426" s="1" t="s">
        <v>56</v>
      </c>
      <c r="D426" s="1" t="s">
        <v>21</v>
      </c>
      <c r="E426">
        <v>670</v>
      </c>
      <c r="F426">
        <v>100</v>
      </c>
      <c r="G426">
        <v>150</v>
      </c>
      <c r="H426">
        <v>140</v>
      </c>
      <c r="I426">
        <v>100</v>
      </c>
      <c r="J426">
        <v>90</v>
      </c>
      <c r="K426">
        <v>90</v>
      </c>
      <c r="L426">
        <v>3</v>
      </c>
      <c r="M426" t="b">
        <v>1</v>
      </c>
      <c r="N426" t="b">
        <f t="shared" si="6"/>
        <v>0</v>
      </c>
    </row>
    <row r="427" spans="1:14" x14ac:dyDescent="0.25">
      <c r="A427">
        <v>384</v>
      </c>
      <c r="B427" s="1" t="s">
        <v>457</v>
      </c>
      <c r="C427" s="1" t="s">
        <v>26</v>
      </c>
      <c r="D427" s="1" t="s">
        <v>24</v>
      </c>
      <c r="E427">
        <v>780</v>
      </c>
      <c r="F427">
        <v>105</v>
      </c>
      <c r="G427">
        <v>180</v>
      </c>
      <c r="H427">
        <v>100</v>
      </c>
      <c r="I427">
        <v>180</v>
      </c>
      <c r="J427">
        <v>100</v>
      </c>
      <c r="K427">
        <v>115</v>
      </c>
      <c r="L427">
        <v>3</v>
      </c>
      <c r="M427" t="b">
        <v>1</v>
      </c>
      <c r="N427" t="b">
        <f t="shared" si="6"/>
        <v>1</v>
      </c>
    </row>
    <row r="428" spans="1:14" x14ac:dyDescent="0.25">
      <c r="A428">
        <v>384</v>
      </c>
      <c r="B428" s="1" t="s">
        <v>458</v>
      </c>
      <c r="C428" s="1" t="s">
        <v>26</v>
      </c>
      <c r="D428" s="1" t="s">
        <v>24</v>
      </c>
      <c r="E428">
        <v>680</v>
      </c>
      <c r="F428">
        <v>105</v>
      </c>
      <c r="G428">
        <v>150</v>
      </c>
      <c r="H428">
        <v>90</v>
      </c>
      <c r="I428">
        <v>150</v>
      </c>
      <c r="J428">
        <v>90</v>
      </c>
      <c r="K428">
        <v>95</v>
      </c>
      <c r="L428">
        <v>3</v>
      </c>
      <c r="M428" t="b">
        <v>1</v>
      </c>
      <c r="N428" t="b">
        <f t="shared" si="6"/>
        <v>0</v>
      </c>
    </row>
    <row r="429" spans="1:14" x14ac:dyDescent="0.25">
      <c r="A429">
        <v>385</v>
      </c>
      <c r="B429" s="1" t="s">
        <v>459</v>
      </c>
      <c r="C429" s="1" t="s">
        <v>117</v>
      </c>
      <c r="D429" s="1" t="s">
        <v>95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  <c r="N429" t="b">
        <f t="shared" si="6"/>
        <v>0</v>
      </c>
    </row>
    <row r="430" spans="1:14" x14ac:dyDescent="0.25">
      <c r="A430">
        <v>386</v>
      </c>
      <c r="B430" s="1" t="s">
        <v>460</v>
      </c>
      <c r="C430" s="1" t="s">
        <v>95</v>
      </c>
      <c r="D430" s="1" t="s">
        <v>21</v>
      </c>
      <c r="E430">
        <v>600</v>
      </c>
      <c r="F430">
        <v>50</v>
      </c>
      <c r="G430">
        <v>180</v>
      </c>
      <c r="H430">
        <v>20</v>
      </c>
      <c r="I430">
        <v>180</v>
      </c>
      <c r="J430">
        <v>20</v>
      </c>
      <c r="K430">
        <v>150</v>
      </c>
      <c r="L430">
        <v>3</v>
      </c>
      <c r="M430" t="b">
        <v>1</v>
      </c>
      <c r="N430" t="b">
        <f t="shared" si="6"/>
        <v>0</v>
      </c>
    </row>
    <row r="431" spans="1:14" x14ac:dyDescent="0.25">
      <c r="A431">
        <v>386</v>
      </c>
      <c r="B431" s="1" t="s">
        <v>461</v>
      </c>
      <c r="C431" s="1" t="s">
        <v>95</v>
      </c>
      <c r="D431" s="1" t="s">
        <v>21</v>
      </c>
      <c r="E431">
        <v>600</v>
      </c>
      <c r="F431">
        <v>50</v>
      </c>
      <c r="G431">
        <v>95</v>
      </c>
      <c r="H431">
        <v>90</v>
      </c>
      <c r="I431">
        <v>95</v>
      </c>
      <c r="J431">
        <v>90</v>
      </c>
      <c r="K431">
        <v>180</v>
      </c>
      <c r="L431">
        <v>3</v>
      </c>
      <c r="M431" t="b">
        <v>1</v>
      </c>
      <c r="N431" t="b">
        <f t="shared" si="6"/>
        <v>0</v>
      </c>
    </row>
    <row r="432" spans="1:14" x14ac:dyDescent="0.25">
      <c r="A432">
        <v>386</v>
      </c>
      <c r="B432" s="1" t="s">
        <v>462</v>
      </c>
      <c r="C432" s="1" t="s">
        <v>95</v>
      </c>
      <c r="D432" s="1" t="s">
        <v>21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  <c r="N432" t="b">
        <f t="shared" si="6"/>
        <v>0</v>
      </c>
    </row>
    <row r="433" spans="1:14" x14ac:dyDescent="0.25">
      <c r="A433">
        <v>386</v>
      </c>
      <c r="B433" s="1" t="s">
        <v>463</v>
      </c>
      <c r="C433" s="1" t="s">
        <v>95</v>
      </c>
      <c r="D433" s="1" t="s">
        <v>21</v>
      </c>
      <c r="E433">
        <v>600</v>
      </c>
      <c r="F433">
        <v>50</v>
      </c>
      <c r="G433">
        <v>150</v>
      </c>
      <c r="H433">
        <v>50</v>
      </c>
      <c r="I433">
        <v>150</v>
      </c>
      <c r="J433">
        <v>50</v>
      </c>
      <c r="K433">
        <v>150</v>
      </c>
      <c r="L433">
        <v>3</v>
      </c>
      <c r="M433" t="b">
        <v>1</v>
      </c>
      <c r="N433" t="b">
        <f t="shared" si="6"/>
        <v>0</v>
      </c>
    </row>
    <row r="434" spans="1:14" x14ac:dyDescent="0.25">
      <c r="A434">
        <v>387</v>
      </c>
      <c r="B434" s="1" t="s">
        <v>464</v>
      </c>
      <c r="C434" s="1" t="s">
        <v>14</v>
      </c>
      <c r="D434" s="1" t="s">
        <v>21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  <c r="N434" t="b">
        <f t="shared" si="6"/>
        <v>0</v>
      </c>
    </row>
    <row r="435" spans="1:14" x14ac:dyDescent="0.25">
      <c r="A435">
        <v>388</v>
      </c>
      <c r="B435" s="1" t="s">
        <v>465</v>
      </c>
      <c r="C435" s="1" t="s">
        <v>14</v>
      </c>
      <c r="D435" s="1" t="s">
        <v>21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  <c r="N435" t="b">
        <f t="shared" si="6"/>
        <v>0</v>
      </c>
    </row>
    <row r="436" spans="1:14" x14ac:dyDescent="0.25">
      <c r="A436">
        <v>389</v>
      </c>
      <c r="B436" s="1" t="s">
        <v>466</v>
      </c>
      <c r="C436" s="1" t="s">
        <v>14</v>
      </c>
      <c r="D436" s="1" t="s">
        <v>56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  <c r="N436" t="b">
        <f t="shared" si="6"/>
        <v>0</v>
      </c>
    </row>
    <row r="437" spans="1:14" x14ac:dyDescent="0.25">
      <c r="A437">
        <v>390</v>
      </c>
      <c r="B437" s="1" t="s">
        <v>467</v>
      </c>
      <c r="C437" s="1" t="s">
        <v>20</v>
      </c>
      <c r="D437" s="1" t="s">
        <v>21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  <c r="N437" t="b">
        <f t="shared" si="6"/>
        <v>0</v>
      </c>
    </row>
    <row r="438" spans="1:14" x14ac:dyDescent="0.25">
      <c r="A438">
        <v>391</v>
      </c>
      <c r="B438" s="1" t="s">
        <v>468</v>
      </c>
      <c r="C438" s="1" t="s">
        <v>20</v>
      </c>
      <c r="D438" s="1" t="s">
        <v>87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  <c r="N438" t="b">
        <f t="shared" si="6"/>
        <v>0</v>
      </c>
    </row>
    <row r="439" spans="1:14" x14ac:dyDescent="0.25">
      <c r="A439">
        <v>392</v>
      </c>
      <c r="B439" s="1" t="s">
        <v>469</v>
      </c>
      <c r="C439" s="1" t="s">
        <v>20</v>
      </c>
      <c r="D439" s="1" t="s">
        <v>87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  <c r="N439" t="b">
        <f t="shared" si="6"/>
        <v>0</v>
      </c>
    </row>
    <row r="440" spans="1:14" x14ac:dyDescent="0.25">
      <c r="A440">
        <v>393</v>
      </c>
      <c r="B440" s="1" t="s">
        <v>470</v>
      </c>
      <c r="C440" s="1" t="s">
        <v>29</v>
      </c>
      <c r="D440" s="1" t="s">
        <v>21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  <c r="N440" t="b">
        <f t="shared" si="6"/>
        <v>0</v>
      </c>
    </row>
    <row r="441" spans="1:14" x14ac:dyDescent="0.25">
      <c r="A441">
        <v>394</v>
      </c>
      <c r="B441" s="1" t="s">
        <v>471</v>
      </c>
      <c r="C441" s="1" t="s">
        <v>29</v>
      </c>
      <c r="D441" s="1" t="s">
        <v>21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  <c r="N441" t="b">
        <f t="shared" si="6"/>
        <v>0</v>
      </c>
    </row>
    <row r="442" spans="1:14" x14ac:dyDescent="0.25">
      <c r="A442">
        <v>395</v>
      </c>
      <c r="B442" s="1" t="s">
        <v>472</v>
      </c>
      <c r="C442" s="1" t="s">
        <v>29</v>
      </c>
      <c r="D442" s="1" t="s">
        <v>117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  <c r="N442" t="b">
        <f t="shared" si="6"/>
        <v>0</v>
      </c>
    </row>
    <row r="443" spans="1:14" x14ac:dyDescent="0.25">
      <c r="A443">
        <v>396</v>
      </c>
      <c r="B443" s="1" t="s">
        <v>473</v>
      </c>
      <c r="C443" s="1" t="s">
        <v>42</v>
      </c>
      <c r="D443" s="1" t="s">
        <v>24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  <c r="N443" t="b">
        <f t="shared" si="6"/>
        <v>0</v>
      </c>
    </row>
    <row r="444" spans="1:14" x14ac:dyDescent="0.25">
      <c r="A444">
        <v>397</v>
      </c>
      <c r="B444" s="1" t="s">
        <v>474</v>
      </c>
      <c r="C444" s="1" t="s">
        <v>42</v>
      </c>
      <c r="D444" s="1" t="s">
        <v>24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  <c r="N444" t="b">
        <f t="shared" si="6"/>
        <v>0</v>
      </c>
    </row>
    <row r="445" spans="1:14" x14ac:dyDescent="0.25">
      <c r="A445">
        <v>398</v>
      </c>
      <c r="B445" s="1" t="s">
        <v>475</v>
      </c>
      <c r="C445" s="1" t="s">
        <v>42</v>
      </c>
      <c r="D445" s="1" t="s">
        <v>24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  <c r="N445" t="b">
        <f t="shared" si="6"/>
        <v>0</v>
      </c>
    </row>
    <row r="446" spans="1:14" x14ac:dyDescent="0.25">
      <c r="A446">
        <v>399</v>
      </c>
      <c r="B446" s="1" t="s">
        <v>476</v>
      </c>
      <c r="C446" s="1" t="s">
        <v>42</v>
      </c>
      <c r="D446" s="1" t="s">
        <v>21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  <c r="N446" t="b">
        <f t="shared" si="6"/>
        <v>0</v>
      </c>
    </row>
    <row r="447" spans="1:14" x14ac:dyDescent="0.25">
      <c r="A447">
        <v>400</v>
      </c>
      <c r="B447" s="1" t="s">
        <v>477</v>
      </c>
      <c r="C447" s="1" t="s">
        <v>42</v>
      </c>
      <c r="D447" s="1" t="s">
        <v>29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  <c r="N447" t="b">
        <f t="shared" si="6"/>
        <v>0</v>
      </c>
    </row>
    <row r="448" spans="1:14" x14ac:dyDescent="0.25">
      <c r="A448">
        <v>401</v>
      </c>
      <c r="B448" s="1" t="s">
        <v>478</v>
      </c>
      <c r="C448" s="1" t="s">
        <v>34</v>
      </c>
      <c r="D448" s="1" t="s">
        <v>21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  <c r="N448" t="b">
        <f t="shared" si="6"/>
        <v>0</v>
      </c>
    </row>
    <row r="449" spans="1:14" x14ac:dyDescent="0.25">
      <c r="A449">
        <v>402</v>
      </c>
      <c r="B449" s="1" t="s">
        <v>479</v>
      </c>
      <c r="C449" s="1" t="s">
        <v>34</v>
      </c>
      <c r="D449" s="1" t="s">
        <v>21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  <c r="N449" t="b">
        <f t="shared" si="6"/>
        <v>0</v>
      </c>
    </row>
    <row r="450" spans="1:14" x14ac:dyDescent="0.25">
      <c r="A450">
        <v>403</v>
      </c>
      <c r="B450" s="1" t="s">
        <v>480</v>
      </c>
      <c r="C450" s="1" t="s">
        <v>53</v>
      </c>
      <c r="D450" s="1" t="s">
        <v>21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  <c r="N450" t="b">
        <f t="shared" ref="N450:N513" si="7">COUNTIF(B450,"*Mega*")&gt;0</f>
        <v>0</v>
      </c>
    </row>
    <row r="451" spans="1:14" x14ac:dyDescent="0.25">
      <c r="A451">
        <v>404</v>
      </c>
      <c r="B451" s="1" t="s">
        <v>481</v>
      </c>
      <c r="C451" s="1" t="s">
        <v>53</v>
      </c>
      <c r="D451" s="1" t="s">
        <v>21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  <c r="N451" t="b">
        <f t="shared" si="7"/>
        <v>0</v>
      </c>
    </row>
    <row r="452" spans="1:14" x14ac:dyDescent="0.25">
      <c r="A452">
        <v>405</v>
      </c>
      <c r="B452" s="1" t="s">
        <v>482</v>
      </c>
      <c r="C452" s="1" t="s">
        <v>53</v>
      </c>
      <c r="D452" s="1" t="s">
        <v>21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  <c r="N452" t="b">
        <f t="shared" si="7"/>
        <v>0</v>
      </c>
    </row>
    <row r="453" spans="1:14" x14ac:dyDescent="0.25">
      <c r="A453">
        <v>406</v>
      </c>
      <c r="B453" s="1" t="s">
        <v>483</v>
      </c>
      <c r="C453" s="1" t="s">
        <v>14</v>
      </c>
      <c r="D453" s="1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  <c r="N453" t="b">
        <f t="shared" si="7"/>
        <v>0</v>
      </c>
    </row>
    <row r="454" spans="1:14" x14ac:dyDescent="0.25">
      <c r="A454">
        <v>407</v>
      </c>
      <c r="B454" s="1" t="s">
        <v>484</v>
      </c>
      <c r="C454" s="1" t="s">
        <v>14</v>
      </c>
      <c r="D454" s="1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  <c r="N454" t="b">
        <f t="shared" si="7"/>
        <v>0</v>
      </c>
    </row>
    <row r="455" spans="1:14" x14ac:dyDescent="0.25">
      <c r="A455">
        <v>408</v>
      </c>
      <c r="B455" s="1" t="s">
        <v>485</v>
      </c>
      <c r="C455" s="1" t="s">
        <v>108</v>
      </c>
      <c r="D455" s="1" t="s">
        <v>21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  <c r="N455" t="b">
        <f t="shared" si="7"/>
        <v>0</v>
      </c>
    </row>
    <row r="456" spans="1:14" x14ac:dyDescent="0.25">
      <c r="A456">
        <v>409</v>
      </c>
      <c r="B456" s="1" t="s">
        <v>486</v>
      </c>
      <c r="C456" s="1" t="s">
        <v>108</v>
      </c>
      <c r="D456" s="1" t="s">
        <v>21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  <c r="N456" t="b">
        <f t="shared" si="7"/>
        <v>0</v>
      </c>
    </row>
    <row r="457" spans="1:14" x14ac:dyDescent="0.25">
      <c r="A457">
        <v>410</v>
      </c>
      <c r="B457" s="1" t="s">
        <v>487</v>
      </c>
      <c r="C457" s="1" t="s">
        <v>108</v>
      </c>
      <c r="D457" s="1" t="s">
        <v>117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  <c r="N457" t="b">
        <f t="shared" si="7"/>
        <v>0</v>
      </c>
    </row>
    <row r="458" spans="1:14" x14ac:dyDescent="0.25">
      <c r="A458">
        <v>411</v>
      </c>
      <c r="B458" s="1" t="s">
        <v>488</v>
      </c>
      <c r="C458" s="1" t="s">
        <v>108</v>
      </c>
      <c r="D458" s="1" t="s">
        <v>117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  <c r="N458" t="b">
        <f t="shared" si="7"/>
        <v>0</v>
      </c>
    </row>
    <row r="459" spans="1:14" x14ac:dyDescent="0.25">
      <c r="A459">
        <v>412</v>
      </c>
      <c r="B459" s="1" t="s">
        <v>489</v>
      </c>
      <c r="C459" s="1" t="s">
        <v>34</v>
      </c>
      <c r="D459" s="1" t="s">
        <v>21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  <c r="N459" t="b">
        <f t="shared" si="7"/>
        <v>0</v>
      </c>
    </row>
    <row r="460" spans="1:14" x14ac:dyDescent="0.25">
      <c r="A460">
        <v>413</v>
      </c>
      <c r="B460" s="1" t="s">
        <v>490</v>
      </c>
      <c r="C460" s="1" t="s">
        <v>34</v>
      </c>
      <c r="D460" s="1" t="s">
        <v>117</v>
      </c>
      <c r="E460">
        <v>424</v>
      </c>
      <c r="F460">
        <v>60</v>
      </c>
      <c r="G460">
        <v>69</v>
      </c>
      <c r="H460">
        <v>95</v>
      </c>
      <c r="I460">
        <v>69</v>
      </c>
      <c r="J460">
        <v>95</v>
      </c>
      <c r="K460">
        <v>36</v>
      </c>
      <c r="L460">
        <v>4</v>
      </c>
      <c r="M460" t="b">
        <v>0</v>
      </c>
      <c r="N460" t="b">
        <f t="shared" si="7"/>
        <v>0</v>
      </c>
    </row>
    <row r="461" spans="1:14" x14ac:dyDescent="0.25">
      <c r="A461">
        <v>413</v>
      </c>
      <c r="B461" s="1" t="s">
        <v>491</v>
      </c>
      <c r="C461" s="1" t="s">
        <v>34</v>
      </c>
      <c r="D461" s="1" t="s">
        <v>14</v>
      </c>
      <c r="E461">
        <v>424</v>
      </c>
      <c r="F461">
        <v>60</v>
      </c>
      <c r="G461">
        <v>59</v>
      </c>
      <c r="H461">
        <v>85</v>
      </c>
      <c r="I461">
        <v>79</v>
      </c>
      <c r="J461">
        <v>105</v>
      </c>
      <c r="K461">
        <v>36</v>
      </c>
      <c r="L461">
        <v>4</v>
      </c>
      <c r="M461" t="b">
        <v>0</v>
      </c>
      <c r="N461" t="b">
        <f t="shared" si="7"/>
        <v>0</v>
      </c>
    </row>
    <row r="462" spans="1:14" x14ac:dyDescent="0.25">
      <c r="A462">
        <v>413</v>
      </c>
      <c r="B462" s="1" t="s">
        <v>492</v>
      </c>
      <c r="C462" s="1" t="s">
        <v>34</v>
      </c>
      <c r="D462" s="1" t="s">
        <v>56</v>
      </c>
      <c r="E462">
        <v>424</v>
      </c>
      <c r="F462">
        <v>60</v>
      </c>
      <c r="G462">
        <v>79</v>
      </c>
      <c r="H462">
        <v>105</v>
      </c>
      <c r="I462">
        <v>59</v>
      </c>
      <c r="J462">
        <v>85</v>
      </c>
      <c r="K462">
        <v>36</v>
      </c>
      <c r="L462">
        <v>4</v>
      </c>
      <c r="M462" t="b">
        <v>0</v>
      </c>
      <c r="N462" t="b">
        <f t="shared" si="7"/>
        <v>0</v>
      </c>
    </row>
    <row r="463" spans="1:14" x14ac:dyDescent="0.25">
      <c r="A463">
        <v>414</v>
      </c>
      <c r="B463" s="1" t="s">
        <v>493</v>
      </c>
      <c r="C463" s="1" t="s">
        <v>34</v>
      </c>
      <c r="D463" s="1" t="s">
        <v>24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  <c r="N463" t="b">
        <f t="shared" si="7"/>
        <v>0</v>
      </c>
    </row>
    <row r="464" spans="1:14" x14ac:dyDescent="0.25">
      <c r="A464">
        <v>415</v>
      </c>
      <c r="B464" s="1" t="s">
        <v>494</v>
      </c>
      <c r="C464" s="1" t="s">
        <v>34</v>
      </c>
      <c r="D464" s="1" t="s">
        <v>24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  <c r="N464" t="b">
        <f t="shared" si="7"/>
        <v>0</v>
      </c>
    </row>
    <row r="465" spans="1:14" x14ac:dyDescent="0.25">
      <c r="A465">
        <v>416</v>
      </c>
      <c r="B465" s="1" t="s">
        <v>495</v>
      </c>
      <c r="C465" s="1" t="s">
        <v>34</v>
      </c>
      <c r="D465" s="1" t="s">
        <v>24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  <c r="N465" t="b">
        <f t="shared" si="7"/>
        <v>0</v>
      </c>
    </row>
    <row r="466" spans="1:14" x14ac:dyDescent="0.25">
      <c r="A466">
        <v>417</v>
      </c>
      <c r="B466" s="1" t="s">
        <v>496</v>
      </c>
      <c r="C466" s="1" t="s">
        <v>53</v>
      </c>
      <c r="D466" s="1" t="s">
        <v>21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  <c r="N466" t="b">
        <f t="shared" si="7"/>
        <v>0</v>
      </c>
    </row>
    <row r="467" spans="1:14" x14ac:dyDescent="0.25">
      <c r="A467">
        <v>418</v>
      </c>
      <c r="B467" s="1" t="s">
        <v>497</v>
      </c>
      <c r="C467" s="1" t="s">
        <v>29</v>
      </c>
      <c r="D467" s="1" t="s">
        <v>21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  <c r="N467" t="b">
        <f t="shared" si="7"/>
        <v>0</v>
      </c>
    </row>
    <row r="468" spans="1:14" x14ac:dyDescent="0.25">
      <c r="A468">
        <v>419</v>
      </c>
      <c r="B468" s="1" t="s">
        <v>498</v>
      </c>
      <c r="C468" s="1" t="s">
        <v>29</v>
      </c>
      <c r="D468" s="1" t="s">
        <v>21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  <c r="N468" t="b">
        <f t="shared" si="7"/>
        <v>0</v>
      </c>
    </row>
    <row r="469" spans="1:14" x14ac:dyDescent="0.25">
      <c r="A469">
        <v>420</v>
      </c>
      <c r="B469" s="1" t="s">
        <v>499</v>
      </c>
      <c r="C469" s="1" t="s">
        <v>14</v>
      </c>
      <c r="D469" s="1" t="s">
        <v>21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  <c r="N469" t="b">
        <f t="shared" si="7"/>
        <v>0</v>
      </c>
    </row>
    <row r="470" spans="1:14" x14ac:dyDescent="0.25">
      <c r="A470">
        <v>421</v>
      </c>
      <c r="B470" s="1" t="s">
        <v>500</v>
      </c>
      <c r="C470" s="1" t="s">
        <v>14</v>
      </c>
      <c r="D470" s="1" t="s">
        <v>21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  <c r="N470" t="b">
        <f t="shared" si="7"/>
        <v>0</v>
      </c>
    </row>
    <row r="471" spans="1:14" x14ac:dyDescent="0.25">
      <c r="A471">
        <v>422</v>
      </c>
      <c r="B471" s="1" t="s">
        <v>501</v>
      </c>
      <c r="C471" s="1" t="s">
        <v>29</v>
      </c>
      <c r="D471" s="1" t="s">
        <v>21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  <c r="N471" t="b">
        <f t="shared" si="7"/>
        <v>0</v>
      </c>
    </row>
    <row r="472" spans="1:14" x14ac:dyDescent="0.25">
      <c r="A472">
        <v>423</v>
      </c>
      <c r="B472" s="1" t="s">
        <v>502</v>
      </c>
      <c r="C472" s="1" t="s">
        <v>29</v>
      </c>
      <c r="D472" s="1" t="s">
        <v>56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  <c r="N472" t="b">
        <f t="shared" si="7"/>
        <v>0</v>
      </c>
    </row>
    <row r="473" spans="1:14" x14ac:dyDescent="0.25">
      <c r="A473">
        <v>424</v>
      </c>
      <c r="B473" s="1" t="s">
        <v>503</v>
      </c>
      <c r="C473" s="1" t="s">
        <v>42</v>
      </c>
      <c r="D473" s="1" t="s">
        <v>21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  <c r="N473" t="b">
        <f t="shared" si="7"/>
        <v>0</v>
      </c>
    </row>
    <row r="474" spans="1:14" x14ac:dyDescent="0.25">
      <c r="A474">
        <v>425</v>
      </c>
      <c r="B474" s="1" t="s">
        <v>504</v>
      </c>
      <c r="C474" s="1" t="s">
        <v>130</v>
      </c>
      <c r="D474" s="1" t="s">
        <v>24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  <c r="N474" t="b">
        <f t="shared" si="7"/>
        <v>0</v>
      </c>
    </row>
    <row r="475" spans="1:14" x14ac:dyDescent="0.25">
      <c r="A475">
        <v>426</v>
      </c>
      <c r="B475" s="1" t="s">
        <v>505</v>
      </c>
      <c r="C475" s="1" t="s">
        <v>130</v>
      </c>
      <c r="D475" s="1" t="s">
        <v>24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  <c r="N475" t="b">
        <f t="shared" si="7"/>
        <v>0</v>
      </c>
    </row>
    <row r="476" spans="1:14" x14ac:dyDescent="0.25">
      <c r="A476">
        <v>427</v>
      </c>
      <c r="B476" s="1" t="s">
        <v>506</v>
      </c>
      <c r="C476" s="1" t="s">
        <v>42</v>
      </c>
      <c r="D476" s="1" t="s">
        <v>21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  <c r="N476" t="b">
        <f t="shared" si="7"/>
        <v>0</v>
      </c>
    </row>
    <row r="477" spans="1:14" x14ac:dyDescent="0.25">
      <c r="A477">
        <v>428</v>
      </c>
      <c r="B477" s="1" t="s">
        <v>507</v>
      </c>
      <c r="C477" s="1" t="s">
        <v>42</v>
      </c>
      <c r="D477" s="1" t="s">
        <v>21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  <c r="N477" t="b">
        <f t="shared" si="7"/>
        <v>0</v>
      </c>
    </row>
    <row r="478" spans="1:14" x14ac:dyDescent="0.25">
      <c r="A478">
        <v>428</v>
      </c>
      <c r="B478" s="1" t="s">
        <v>508</v>
      </c>
      <c r="C478" s="1" t="s">
        <v>42</v>
      </c>
      <c r="D478" s="1" t="s">
        <v>87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  <c r="N478" t="b">
        <f t="shared" si="7"/>
        <v>1</v>
      </c>
    </row>
    <row r="479" spans="1:14" x14ac:dyDescent="0.25">
      <c r="A479">
        <v>429</v>
      </c>
      <c r="B479" s="1" t="s">
        <v>509</v>
      </c>
      <c r="C479" s="1" t="s">
        <v>130</v>
      </c>
      <c r="D479" s="1" t="s">
        <v>21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  <c r="N479" t="b">
        <f t="shared" si="7"/>
        <v>0</v>
      </c>
    </row>
    <row r="480" spans="1:14" x14ac:dyDescent="0.25">
      <c r="A480">
        <v>430</v>
      </c>
      <c r="B480" s="1" t="s">
        <v>510</v>
      </c>
      <c r="C480" s="1" t="s">
        <v>172</v>
      </c>
      <c r="D480" s="1" t="s">
        <v>24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  <c r="N480" t="b">
        <f t="shared" si="7"/>
        <v>0</v>
      </c>
    </row>
    <row r="481" spans="1:14" x14ac:dyDescent="0.25">
      <c r="A481">
        <v>431</v>
      </c>
      <c r="B481" s="1" t="s">
        <v>511</v>
      </c>
      <c r="C481" s="1" t="s">
        <v>42</v>
      </c>
      <c r="D481" s="1" t="s">
        <v>21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  <c r="N481" t="b">
        <f t="shared" si="7"/>
        <v>0</v>
      </c>
    </row>
    <row r="482" spans="1:14" x14ac:dyDescent="0.25">
      <c r="A482">
        <v>432</v>
      </c>
      <c r="B482" s="1" t="s">
        <v>512</v>
      </c>
      <c r="C482" s="1" t="s">
        <v>42</v>
      </c>
      <c r="D482" s="1" t="s">
        <v>21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  <c r="N482" t="b">
        <f t="shared" si="7"/>
        <v>0</v>
      </c>
    </row>
    <row r="483" spans="1:14" x14ac:dyDescent="0.25">
      <c r="A483">
        <v>433</v>
      </c>
      <c r="B483" s="1" t="s">
        <v>513</v>
      </c>
      <c r="C483" s="1" t="s">
        <v>95</v>
      </c>
      <c r="D483" s="1" t="s">
        <v>21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  <c r="N483" t="b">
        <f t="shared" si="7"/>
        <v>0</v>
      </c>
    </row>
    <row r="484" spans="1:14" x14ac:dyDescent="0.25">
      <c r="A484">
        <v>434</v>
      </c>
      <c r="B484" s="1" t="s">
        <v>514</v>
      </c>
      <c r="C484" s="1" t="s">
        <v>15</v>
      </c>
      <c r="D484" s="1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  <c r="N484" t="b">
        <f t="shared" si="7"/>
        <v>0</v>
      </c>
    </row>
    <row r="485" spans="1:14" x14ac:dyDescent="0.25">
      <c r="A485">
        <v>435</v>
      </c>
      <c r="B485" s="1" t="s">
        <v>515</v>
      </c>
      <c r="C485" s="1" t="s">
        <v>15</v>
      </c>
      <c r="D485" s="1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  <c r="N485" t="b">
        <f t="shared" si="7"/>
        <v>0</v>
      </c>
    </row>
    <row r="486" spans="1:14" x14ac:dyDescent="0.25">
      <c r="A486">
        <v>436</v>
      </c>
      <c r="B486" s="1" t="s">
        <v>516</v>
      </c>
      <c r="C486" s="1" t="s">
        <v>117</v>
      </c>
      <c r="D486" s="1" t="s">
        <v>95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  <c r="N486" t="b">
        <f t="shared" si="7"/>
        <v>0</v>
      </c>
    </row>
    <row r="487" spans="1:14" x14ac:dyDescent="0.25">
      <c r="A487">
        <v>437</v>
      </c>
      <c r="B487" s="1" t="s">
        <v>517</v>
      </c>
      <c r="C487" s="1" t="s">
        <v>117</v>
      </c>
      <c r="D487" s="1" t="s">
        <v>95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  <c r="N487" t="b">
        <f t="shared" si="7"/>
        <v>0</v>
      </c>
    </row>
    <row r="488" spans="1:14" x14ac:dyDescent="0.25">
      <c r="A488">
        <v>438</v>
      </c>
      <c r="B488" s="1" t="s">
        <v>518</v>
      </c>
      <c r="C488" s="1" t="s">
        <v>108</v>
      </c>
      <c r="D488" s="1" t="s">
        <v>21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  <c r="N488" t="b">
        <f t="shared" si="7"/>
        <v>0</v>
      </c>
    </row>
    <row r="489" spans="1:14" x14ac:dyDescent="0.25">
      <c r="A489">
        <v>439</v>
      </c>
      <c r="B489" s="1" t="s">
        <v>519</v>
      </c>
      <c r="C489" s="1" t="s">
        <v>95</v>
      </c>
      <c r="D489" s="1" t="s">
        <v>65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  <c r="N489" t="b">
        <f t="shared" si="7"/>
        <v>0</v>
      </c>
    </row>
    <row r="490" spans="1:14" x14ac:dyDescent="0.25">
      <c r="A490">
        <v>440</v>
      </c>
      <c r="B490" s="1" t="s">
        <v>520</v>
      </c>
      <c r="C490" s="1" t="s">
        <v>42</v>
      </c>
      <c r="D490" s="1" t="s">
        <v>21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  <c r="N490" t="b">
        <f t="shared" si="7"/>
        <v>0</v>
      </c>
    </row>
    <row r="491" spans="1:14" x14ac:dyDescent="0.25">
      <c r="A491">
        <v>441</v>
      </c>
      <c r="B491" s="1" t="s">
        <v>521</v>
      </c>
      <c r="C491" s="1" t="s">
        <v>42</v>
      </c>
      <c r="D491" s="1" t="s">
        <v>24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  <c r="N491" t="b">
        <f t="shared" si="7"/>
        <v>0</v>
      </c>
    </row>
    <row r="492" spans="1:14" x14ac:dyDescent="0.25">
      <c r="A492">
        <v>442</v>
      </c>
      <c r="B492" s="1" t="s">
        <v>522</v>
      </c>
      <c r="C492" s="1" t="s">
        <v>130</v>
      </c>
      <c r="D492" s="1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  <c r="N492" t="b">
        <f t="shared" si="7"/>
        <v>0</v>
      </c>
    </row>
    <row r="493" spans="1:14" x14ac:dyDescent="0.25">
      <c r="A493">
        <v>443</v>
      </c>
      <c r="B493" s="1" t="s">
        <v>523</v>
      </c>
      <c r="C493" s="1" t="s">
        <v>26</v>
      </c>
      <c r="D493" s="1" t="s">
        <v>56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  <c r="N493" t="b">
        <f t="shared" si="7"/>
        <v>0</v>
      </c>
    </row>
    <row r="494" spans="1:14" x14ac:dyDescent="0.25">
      <c r="A494">
        <v>444</v>
      </c>
      <c r="B494" s="1" t="s">
        <v>524</v>
      </c>
      <c r="C494" s="1" t="s">
        <v>26</v>
      </c>
      <c r="D494" s="1" t="s">
        <v>56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  <c r="N494" t="b">
        <f t="shared" si="7"/>
        <v>0</v>
      </c>
    </row>
    <row r="495" spans="1:14" x14ac:dyDescent="0.25">
      <c r="A495">
        <v>445</v>
      </c>
      <c r="B495" s="1" t="s">
        <v>525</v>
      </c>
      <c r="C495" s="1" t="s">
        <v>26</v>
      </c>
      <c r="D495" s="1" t="s">
        <v>56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  <c r="N495" t="b">
        <f t="shared" si="7"/>
        <v>0</v>
      </c>
    </row>
    <row r="496" spans="1:14" x14ac:dyDescent="0.25">
      <c r="A496">
        <v>445</v>
      </c>
      <c r="B496" s="1" t="s">
        <v>526</v>
      </c>
      <c r="C496" s="1" t="s">
        <v>26</v>
      </c>
      <c r="D496" s="1" t="s">
        <v>56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  <c r="N496" t="b">
        <f t="shared" si="7"/>
        <v>1</v>
      </c>
    </row>
    <row r="497" spans="1:14" x14ac:dyDescent="0.25">
      <c r="A497">
        <v>446</v>
      </c>
      <c r="B497" s="1" t="s">
        <v>527</v>
      </c>
      <c r="C497" s="1" t="s">
        <v>42</v>
      </c>
      <c r="D497" s="1" t="s">
        <v>21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  <c r="N497" t="b">
        <f t="shared" si="7"/>
        <v>0</v>
      </c>
    </row>
    <row r="498" spans="1:14" x14ac:dyDescent="0.25">
      <c r="A498">
        <v>447</v>
      </c>
      <c r="B498" s="1" t="s">
        <v>528</v>
      </c>
      <c r="C498" s="1" t="s">
        <v>87</v>
      </c>
      <c r="D498" s="1" t="s">
        <v>21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  <c r="N498" t="b">
        <f t="shared" si="7"/>
        <v>0</v>
      </c>
    </row>
    <row r="499" spans="1:14" x14ac:dyDescent="0.25">
      <c r="A499">
        <v>448</v>
      </c>
      <c r="B499" s="1" t="s">
        <v>529</v>
      </c>
      <c r="C499" s="1" t="s">
        <v>87</v>
      </c>
      <c r="D499" s="1" t="s">
        <v>117</v>
      </c>
      <c r="E499">
        <v>625</v>
      </c>
      <c r="F499">
        <v>70</v>
      </c>
      <c r="G499">
        <v>145</v>
      </c>
      <c r="H499">
        <v>88</v>
      </c>
      <c r="I499">
        <v>140</v>
      </c>
      <c r="J499">
        <v>70</v>
      </c>
      <c r="K499">
        <v>112</v>
      </c>
      <c r="L499">
        <v>4</v>
      </c>
      <c r="M499" t="b">
        <v>0</v>
      </c>
      <c r="N499" t="b">
        <f t="shared" si="7"/>
        <v>1</v>
      </c>
    </row>
    <row r="500" spans="1:14" x14ac:dyDescent="0.25">
      <c r="A500">
        <v>448</v>
      </c>
      <c r="B500" s="1" t="s">
        <v>530</v>
      </c>
      <c r="C500" s="1" t="s">
        <v>87</v>
      </c>
      <c r="D500" s="1" t="s">
        <v>117</v>
      </c>
      <c r="E500">
        <v>525</v>
      </c>
      <c r="F500">
        <v>70</v>
      </c>
      <c r="G500">
        <v>110</v>
      </c>
      <c r="H500">
        <v>70</v>
      </c>
      <c r="I500">
        <v>115</v>
      </c>
      <c r="J500">
        <v>70</v>
      </c>
      <c r="K500">
        <v>90</v>
      </c>
      <c r="L500">
        <v>4</v>
      </c>
      <c r="M500" t="b">
        <v>0</v>
      </c>
      <c r="N500" t="b">
        <f t="shared" si="7"/>
        <v>0</v>
      </c>
    </row>
    <row r="501" spans="1:14" x14ac:dyDescent="0.25">
      <c r="A501">
        <v>449</v>
      </c>
      <c r="B501" s="1" t="s">
        <v>531</v>
      </c>
      <c r="C501" s="1" t="s">
        <v>56</v>
      </c>
      <c r="D501" s="1" t="s">
        <v>21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  <c r="N501" t="b">
        <f t="shared" si="7"/>
        <v>0</v>
      </c>
    </row>
    <row r="502" spans="1:14" x14ac:dyDescent="0.25">
      <c r="A502">
        <v>450</v>
      </c>
      <c r="B502" s="1" t="s">
        <v>532</v>
      </c>
      <c r="C502" s="1" t="s">
        <v>56</v>
      </c>
      <c r="D502" s="1" t="s">
        <v>21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  <c r="N502" t="b">
        <f t="shared" si="7"/>
        <v>0</v>
      </c>
    </row>
    <row r="503" spans="1:14" x14ac:dyDescent="0.25">
      <c r="A503">
        <v>451</v>
      </c>
      <c r="B503" s="1" t="s">
        <v>533</v>
      </c>
      <c r="C503" s="1" t="s">
        <v>15</v>
      </c>
      <c r="D503" s="1" t="s">
        <v>34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  <c r="N503" t="b">
        <f t="shared" si="7"/>
        <v>0</v>
      </c>
    </row>
    <row r="504" spans="1:14" x14ac:dyDescent="0.25">
      <c r="A504">
        <v>452</v>
      </c>
      <c r="B504" s="1" t="s">
        <v>534</v>
      </c>
      <c r="C504" s="1" t="s">
        <v>15</v>
      </c>
      <c r="D504" s="1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  <c r="N504" t="b">
        <f t="shared" si="7"/>
        <v>0</v>
      </c>
    </row>
    <row r="505" spans="1:14" x14ac:dyDescent="0.25">
      <c r="A505">
        <v>453</v>
      </c>
      <c r="B505" s="1" t="s">
        <v>535</v>
      </c>
      <c r="C505" s="1" t="s">
        <v>15</v>
      </c>
      <c r="D505" s="1" t="s">
        <v>87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  <c r="N505" t="b">
        <f t="shared" si="7"/>
        <v>0</v>
      </c>
    </row>
    <row r="506" spans="1:14" x14ac:dyDescent="0.25">
      <c r="A506">
        <v>454</v>
      </c>
      <c r="B506" s="1" t="s">
        <v>536</v>
      </c>
      <c r="C506" s="1" t="s">
        <v>15</v>
      </c>
      <c r="D506" s="1" t="s">
        <v>87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  <c r="N506" t="b">
        <f t="shared" si="7"/>
        <v>0</v>
      </c>
    </row>
    <row r="507" spans="1:14" x14ac:dyDescent="0.25">
      <c r="A507">
        <v>455</v>
      </c>
      <c r="B507" s="1" t="s">
        <v>537</v>
      </c>
      <c r="C507" s="1" t="s">
        <v>14</v>
      </c>
      <c r="D507" s="1" t="s">
        <v>21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  <c r="N507" t="b">
        <f t="shared" si="7"/>
        <v>0</v>
      </c>
    </row>
    <row r="508" spans="1:14" x14ac:dyDescent="0.25">
      <c r="A508">
        <v>456</v>
      </c>
      <c r="B508" s="1" t="s">
        <v>538</v>
      </c>
      <c r="C508" s="1" t="s">
        <v>29</v>
      </c>
      <c r="D508" s="1" t="s">
        <v>21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  <c r="N508" t="b">
        <f t="shared" si="7"/>
        <v>0</v>
      </c>
    </row>
    <row r="509" spans="1:14" x14ac:dyDescent="0.25">
      <c r="A509">
        <v>457</v>
      </c>
      <c r="B509" s="1" t="s">
        <v>539</v>
      </c>
      <c r="C509" s="1" t="s">
        <v>29</v>
      </c>
      <c r="D509" s="1" t="s">
        <v>21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  <c r="N509" t="b">
        <f t="shared" si="7"/>
        <v>0</v>
      </c>
    </row>
    <row r="510" spans="1:14" x14ac:dyDescent="0.25">
      <c r="A510">
        <v>458</v>
      </c>
      <c r="B510" s="1" t="s">
        <v>540</v>
      </c>
      <c r="C510" s="1" t="s">
        <v>29</v>
      </c>
      <c r="D510" s="1" t="s">
        <v>24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  <c r="N510" t="b">
        <f t="shared" si="7"/>
        <v>0</v>
      </c>
    </row>
    <row r="511" spans="1:14" x14ac:dyDescent="0.25">
      <c r="A511">
        <v>459</v>
      </c>
      <c r="B511" s="1" t="s">
        <v>541</v>
      </c>
      <c r="C511" s="1" t="s">
        <v>14</v>
      </c>
      <c r="D511" s="1" t="s">
        <v>124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  <c r="N511" t="b">
        <f t="shared" si="7"/>
        <v>0</v>
      </c>
    </row>
    <row r="512" spans="1:14" x14ac:dyDescent="0.25">
      <c r="A512">
        <v>460</v>
      </c>
      <c r="B512" s="1" t="s">
        <v>542</v>
      </c>
      <c r="C512" s="1" t="s">
        <v>14</v>
      </c>
      <c r="D512" s="1" t="s">
        <v>124</v>
      </c>
      <c r="E512">
        <v>594</v>
      </c>
      <c r="F512">
        <v>90</v>
      </c>
      <c r="G512">
        <v>132</v>
      </c>
      <c r="H512">
        <v>105</v>
      </c>
      <c r="I512">
        <v>132</v>
      </c>
      <c r="J512">
        <v>105</v>
      </c>
      <c r="K512">
        <v>30</v>
      </c>
      <c r="L512">
        <v>4</v>
      </c>
      <c r="M512" t="b">
        <v>0</v>
      </c>
      <c r="N512" t="b">
        <f t="shared" si="7"/>
        <v>1</v>
      </c>
    </row>
    <row r="513" spans="1:14" x14ac:dyDescent="0.25">
      <c r="A513">
        <v>460</v>
      </c>
      <c r="B513" s="1" t="s">
        <v>543</v>
      </c>
      <c r="C513" s="1" t="s">
        <v>14</v>
      </c>
      <c r="D513" s="1" t="s">
        <v>124</v>
      </c>
      <c r="E513">
        <v>494</v>
      </c>
      <c r="F513">
        <v>90</v>
      </c>
      <c r="G513">
        <v>92</v>
      </c>
      <c r="H513">
        <v>75</v>
      </c>
      <c r="I513">
        <v>92</v>
      </c>
      <c r="J513">
        <v>85</v>
      </c>
      <c r="K513">
        <v>60</v>
      </c>
      <c r="L513">
        <v>4</v>
      </c>
      <c r="M513" t="b">
        <v>0</v>
      </c>
      <c r="N513" t="b">
        <f t="shared" si="7"/>
        <v>0</v>
      </c>
    </row>
    <row r="514" spans="1:14" x14ac:dyDescent="0.25">
      <c r="A514">
        <v>461</v>
      </c>
      <c r="B514" s="1" t="s">
        <v>544</v>
      </c>
      <c r="C514" s="1" t="s">
        <v>172</v>
      </c>
      <c r="D514" s="1" t="s">
        <v>124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  <c r="N514" t="b">
        <f t="shared" ref="N514:N577" si="8">COUNTIF(B514,"*Mega*")&gt;0</f>
        <v>0</v>
      </c>
    </row>
    <row r="515" spans="1:14" x14ac:dyDescent="0.25">
      <c r="A515">
        <v>462</v>
      </c>
      <c r="B515" s="1" t="s">
        <v>545</v>
      </c>
      <c r="C515" s="1" t="s">
        <v>53</v>
      </c>
      <c r="D515" s="1" t="s">
        <v>117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  <c r="N515" t="b">
        <f t="shared" si="8"/>
        <v>0</v>
      </c>
    </row>
    <row r="516" spans="1:14" x14ac:dyDescent="0.25">
      <c r="A516">
        <v>463</v>
      </c>
      <c r="B516" s="1" t="s">
        <v>546</v>
      </c>
      <c r="C516" s="1" t="s">
        <v>42</v>
      </c>
      <c r="D516" s="1" t="s">
        <v>21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  <c r="N516" t="b">
        <f t="shared" si="8"/>
        <v>0</v>
      </c>
    </row>
    <row r="517" spans="1:14" x14ac:dyDescent="0.25">
      <c r="A517">
        <v>464</v>
      </c>
      <c r="B517" s="1" t="s">
        <v>547</v>
      </c>
      <c r="C517" s="1" t="s">
        <v>56</v>
      </c>
      <c r="D517" s="1" t="s">
        <v>108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  <c r="N517" t="b">
        <f t="shared" si="8"/>
        <v>0</v>
      </c>
    </row>
    <row r="518" spans="1:14" x14ac:dyDescent="0.25">
      <c r="A518">
        <v>465</v>
      </c>
      <c r="B518" s="1" t="s">
        <v>548</v>
      </c>
      <c r="C518" s="1" t="s">
        <v>14</v>
      </c>
      <c r="D518" s="1" t="s">
        <v>21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  <c r="N518" t="b">
        <f t="shared" si="8"/>
        <v>0</v>
      </c>
    </row>
    <row r="519" spans="1:14" x14ac:dyDescent="0.25">
      <c r="A519">
        <v>466</v>
      </c>
      <c r="B519" s="1" t="s">
        <v>549</v>
      </c>
      <c r="C519" s="1" t="s">
        <v>53</v>
      </c>
      <c r="D519" s="1" t="s">
        <v>21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  <c r="N519" t="b">
        <f t="shared" si="8"/>
        <v>0</v>
      </c>
    </row>
    <row r="520" spans="1:14" x14ac:dyDescent="0.25">
      <c r="A520">
        <v>467</v>
      </c>
      <c r="B520" s="1" t="s">
        <v>550</v>
      </c>
      <c r="C520" s="1" t="s">
        <v>20</v>
      </c>
      <c r="D520" s="1" t="s">
        <v>21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  <c r="N520" t="b">
        <f t="shared" si="8"/>
        <v>0</v>
      </c>
    </row>
    <row r="521" spans="1:14" x14ac:dyDescent="0.25">
      <c r="A521">
        <v>468</v>
      </c>
      <c r="B521" s="1" t="s">
        <v>551</v>
      </c>
      <c r="C521" s="1" t="s">
        <v>65</v>
      </c>
      <c r="D521" s="1" t="s">
        <v>24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  <c r="N521" t="b">
        <f t="shared" si="8"/>
        <v>0</v>
      </c>
    </row>
    <row r="522" spans="1:14" x14ac:dyDescent="0.25">
      <c r="A522">
        <v>469</v>
      </c>
      <c r="B522" s="1" t="s">
        <v>552</v>
      </c>
      <c r="C522" s="1" t="s">
        <v>34</v>
      </c>
      <c r="D522" s="1" t="s">
        <v>24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  <c r="N522" t="b">
        <f t="shared" si="8"/>
        <v>1</v>
      </c>
    </row>
    <row r="523" spans="1:14" x14ac:dyDescent="0.25">
      <c r="A523">
        <v>470</v>
      </c>
      <c r="B523" s="1" t="s">
        <v>553</v>
      </c>
      <c r="C523" s="1" t="s">
        <v>14</v>
      </c>
      <c r="D523" s="1" t="s">
        <v>21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  <c r="N523" t="b">
        <f t="shared" si="8"/>
        <v>0</v>
      </c>
    </row>
    <row r="524" spans="1:14" x14ac:dyDescent="0.25">
      <c r="A524">
        <v>471</v>
      </c>
      <c r="B524" s="1" t="s">
        <v>554</v>
      </c>
      <c r="C524" s="1" t="s">
        <v>124</v>
      </c>
      <c r="D524" s="1" t="s">
        <v>21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  <c r="N524" t="b">
        <f t="shared" si="8"/>
        <v>0</v>
      </c>
    </row>
    <row r="525" spans="1:14" x14ac:dyDescent="0.25">
      <c r="A525">
        <v>472</v>
      </c>
      <c r="B525" s="1" t="s">
        <v>555</v>
      </c>
      <c r="C525" s="1" t="s">
        <v>56</v>
      </c>
      <c r="D525" s="1" t="s">
        <v>24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  <c r="N525" t="b">
        <f t="shared" si="8"/>
        <v>0</v>
      </c>
    </row>
    <row r="526" spans="1:14" x14ac:dyDescent="0.25">
      <c r="A526">
        <v>473</v>
      </c>
      <c r="B526" s="1" t="s">
        <v>556</v>
      </c>
      <c r="C526" s="1" t="s">
        <v>124</v>
      </c>
      <c r="D526" s="1" t="s">
        <v>56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  <c r="N526" t="b">
        <f t="shared" si="8"/>
        <v>0</v>
      </c>
    </row>
    <row r="527" spans="1:14" x14ac:dyDescent="0.25">
      <c r="A527">
        <v>474</v>
      </c>
      <c r="B527" s="1" t="s">
        <v>557</v>
      </c>
      <c r="C527" s="1" t="s">
        <v>42</v>
      </c>
      <c r="D527" s="1" t="s">
        <v>21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  <c r="N527" t="b">
        <f t="shared" si="8"/>
        <v>0</v>
      </c>
    </row>
    <row r="528" spans="1:14" x14ac:dyDescent="0.25">
      <c r="A528">
        <v>475</v>
      </c>
      <c r="B528" s="1" t="s">
        <v>558</v>
      </c>
      <c r="C528" s="1" t="s">
        <v>95</v>
      </c>
      <c r="D528" s="1" t="s">
        <v>87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  <c r="N528" t="b">
        <f t="shared" si="8"/>
        <v>0</v>
      </c>
    </row>
    <row r="529" spans="1:14" x14ac:dyDescent="0.25">
      <c r="A529">
        <v>475</v>
      </c>
      <c r="B529" s="1" t="s">
        <v>559</v>
      </c>
      <c r="C529" s="1" t="s">
        <v>95</v>
      </c>
      <c r="D529" s="1" t="s">
        <v>87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  <c r="N529" t="b">
        <f t="shared" si="8"/>
        <v>1</v>
      </c>
    </row>
    <row r="530" spans="1:14" x14ac:dyDescent="0.25">
      <c r="A530">
        <v>476</v>
      </c>
      <c r="B530" s="1" t="s">
        <v>560</v>
      </c>
      <c r="C530" s="1" t="s">
        <v>108</v>
      </c>
      <c r="D530" s="1" t="s">
        <v>117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  <c r="N530" t="b">
        <f t="shared" si="8"/>
        <v>0</v>
      </c>
    </row>
    <row r="531" spans="1:14" x14ac:dyDescent="0.25">
      <c r="A531">
        <v>477</v>
      </c>
      <c r="B531" s="1" t="s">
        <v>561</v>
      </c>
      <c r="C531" s="1" t="s">
        <v>130</v>
      </c>
      <c r="D531" s="1" t="s">
        <v>21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  <c r="N531" t="b">
        <f t="shared" si="8"/>
        <v>0</v>
      </c>
    </row>
    <row r="532" spans="1:14" x14ac:dyDescent="0.25">
      <c r="A532">
        <v>478</v>
      </c>
      <c r="B532" s="1" t="s">
        <v>562</v>
      </c>
      <c r="C532" s="1" t="s">
        <v>124</v>
      </c>
      <c r="D532" s="1" t="s">
        <v>130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  <c r="N532" t="b">
        <f t="shared" si="8"/>
        <v>0</v>
      </c>
    </row>
    <row r="533" spans="1:14" x14ac:dyDescent="0.25">
      <c r="A533">
        <v>479</v>
      </c>
      <c r="B533" s="1" t="s">
        <v>563</v>
      </c>
      <c r="C533" s="1" t="s">
        <v>53</v>
      </c>
      <c r="D533" s="1" t="s">
        <v>130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  <c r="N533" t="b">
        <f t="shared" si="8"/>
        <v>0</v>
      </c>
    </row>
    <row r="534" spans="1:14" x14ac:dyDescent="0.25">
      <c r="A534">
        <v>479</v>
      </c>
      <c r="B534" s="1" t="s">
        <v>564</v>
      </c>
      <c r="C534" s="1" t="s">
        <v>53</v>
      </c>
      <c r="D534" s="1" t="s">
        <v>124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  <c r="N534" t="b">
        <f t="shared" si="8"/>
        <v>0</v>
      </c>
    </row>
    <row r="535" spans="1:14" x14ac:dyDescent="0.25">
      <c r="A535">
        <v>479</v>
      </c>
      <c r="B535" s="1" t="s">
        <v>565</v>
      </c>
      <c r="C535" s="1" t="s">
        <v>53</v>
      </c>
      <c r="D535" s="1" t="s">
        <v>20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  <c r="N535" t="b">
        <f t="shared" si="8"/>
        <v>0</v>
      </c>
    </row>
    <row r="536" spans="1:14" x14ac:dyDescent="0.25">
      <c r="A536">
        <v>479</v>
      </c>
      <c r="B536" s="1" t="s">
        <v>566</v>
      </c>
      <c r="C536" s="1" t="s">
        <v>53</v>
      </c>
      <c r="D536" s="1" t="s">
        <v>14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  <c r="N536" t="b">
        <f t="shared" si="8"/>
        <v>0</v>
      </c>
    </row>
    <row r="537" spans="1:14" x14ac:dyDescent="0.25">
      <c r="A537">
        <v>479</v>
      </c>
      <c r="B537" s="1" t="s">
        <v>567</v>
      </c>
      <c r="C537" s="1" t="s">
        <v>53</v>
      </c>
      <c r="D537" s="1" t="s">
        <v>24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  <c r="N537" t="b">
        <f t="shared" si="8"/>
        <v>0</v>
      </c>
    </row>
    <row r="538" spans="1:14" x14ac:dyDescent="0.25">
      <c r="A538">
        <v>479</v>
      </c>
      <c r="B538" s="1" t="s">
        <v>568</v>
      </c>
      <c r="C538" s="1" t="s">
        <v>53</v>
      </c>
      <c r="D538" s="1" t="s">
        <v>29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  <c r="N538" t="b">
        <f t="shared" si="8"/>
        <v>0</v>
      </c>
    </row>
    <row r="539" spans="1:14" x14ac:dyDescent="0.25">
      <c r="A539">
        <v>480</v>
      </c>
      <c r="B539" s="1" t="s">
        <v>569</v>
      </c>
      <c r="C539" s="1" t="s">
        <v>95</v>
      </c>
      <c r="D539" s="1" t="s">
        <v>21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  <c r="N539" t="b">
        <f t="shared" si="8"/>
        <v>0</v>
      </c>
    </row>
    <row r="540" spans="1:14" x14ac:dyDescent="0.25">
      <c r="A540">
        <v>481</v>
      </c>
      <c r="B540" s="1" t="s">
        <v>570</v>
      </c>
      <c r="C540" s="1" t="s">
        <v>95</v>
      </c>
      <c r="D540" s="1" t="s">
        <v>21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  <c r="N540" t="b">
        <f t="shared" si="8"/>
        <v>0</v>
      </c>
    </row>
    <row r="541" spans="1:14" x14ac:dyDescent="0.25">
      <c r="A541">
        <v>482</v>
      </c>
      <c r="B541" s="1" t="s">
        <v>571</v>
      </c>
      <c r="C541" s="1" t="s">
        <v>95</v>
      </c>
      <c r="D541" s="1" t="s">
        <v>21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  <c r="N541" t="b">
        <f t="shared" si="8"/>
        <v>0</v>
      </c>
    </row>
    <row r="542" spans="1:14" x14ac:dyDescent="0.25">
      <c r="A542">
        <v>483</v>
      </c>
      <c r="B542" s="1" t="s">
        <v>572</v>
      </c>
      <c r="C542" s="1" t="s">
        <v>117</v>
      </c>
      <c r="D542" s="1" t="s">
        <v>26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  <c r="N542" t="b">
        <f t="shared" si="8"/>
        <v>0</v>
      </c>
    </row>
    <row r="543" spans="1:14" x14ac:dyDescent="0.25">
      <c r="A543">
        <v>484</v>
      </c>
      <c r="B543" s="1" t="s">
        <v>573</v>
      </c>
      <c r="C543" s="1" t="s">
        <v>29</v>
      </c>
      <c r="D543" s="1" t="s">
        <v>26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  <c r="N543" t="b">
        <f t="shared" si="8"/>
        <v>0</v>
      </c>
    </row>
    <row r="544" spans="1:14" x14ac:dyDescent="0.25">
      <c r="A544">
        <v>485</v>
      </c>
      <c r="B544" s="1" t="s">
        <v>574</v>
      </c>
      <c r="C544" s="1" t="s">
        <v>20</v>
      </c>
      <c r="D544" s="1" t="s">
        <v>117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  <c r="N544" t="b">
        <f t="shared" si="8"/>
        <v>0</v>
      </c>
    </row>
    <row r="545" spans="1:14" x14ac:dyDescent="0.25">
      <c r="A545">
        <v>486</v>
      </c>
      <c r="B545" s="1" t="s">
        <v>575</v>
      </c>
      <c r="C545" s="1" t="s">
        <v>42</v>
      </c>
      <c r="D545" s="1" t="s">
        <v>21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  <c r="N545" t="b">
        <f t="shared" si="8"/>
        <v>0</v>
      </c>
    </row>
    <row r="546" spans="1:14" x14ac:dyDescent="0.25">
      <c r="A546">
        <v>487</v>
      </c>
      <c r="B546" s="1" t="s">
        <v>576</v>
      </c>
      <c r="C546" s="1" t="s">
        <v>130</v>
      </c>
      <c r="D546" s="1" t="s">
        <v>26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  <c r="N546" t="b">
        <f t="shared" si="8"/>
        <v>0</v>
      </c>
    </row>
    <row r="547" spans="1:14" x14ac:dyDescent="0.25">
      <c r="A547">
        <v>487</v>
      </c>
      <c r="B547" s="1" t="s">
        <v>577</v>
      </c>
      <c r="C547" s="1" t="s">
        <v>130</v>
      </c>
      <c r="D547" s="1" t="s">
        <v>26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  <c r="N547" t="b">
        <f t="shared" si="8"/>
        <v>0</v>
      </c>
    </row>
    <row r="548" spans="1:14" x14ac:dyDescent="0.25">
      <c r="A548">
        <v>488</v>
      </c>
      <c r="B548" s="1" t="s">
        <v>578</v>
      </c>
      <c r="C548" s="1" t="s">
        <v>95</v>
      </c>
      <c r="D548" s="1" t="s">
        <v>21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  <c r="N548" t="b">
        <f t="shared" si="8"/>
        <v>0</v>
      </c>
    </row>
    <row r="549" spans="1:14" x14ac:dyDescent="0.25">
      <c r="A549">
        <v>489</v>
      </c>
      <c r="B549" s="1" t="s">
        <v>579</v>
      </c>
      <c r="C549" s="1" t="s">
        <v>29</v>
      </c>
      <c r="D549" s="1" t="s">
        <v>21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  <c r="N549" t="b">
        <f t="shared" si="8"/>
        <v>0</v>
      </c>
    </row>
    <row r="550" spans="1:14" x14ac:dyDescent="0.25">
      <c r="A550">
        <v>490</v>
      </c>
      <c r="B550" s="1" t="s">
        <v>580</v>
      </c>
      <c r="C550" s="1" t="s">
        <v>29</v>
      </c>
      <c r="D550" s="1" t="s">
        <v>21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  <c r="N550" t="b">
        <f t="shared" si="8"/>
        <v>0</v>
      </c>
    </row>
    <row r="551" spans="1:14" x14ac:dyDescent="0.25">
      <c r="A551">
        <v>491</v>
      </c>
      <c r="B551" s="1" t="s">
        <v>581</v>
      </c>
      <c r="C551" s="1" t="s">
        <v>172</v>
      </c>
      <c r="D551" s="1" t="s">
        <v>21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  <c r="N551" t="b">
        <f t="shared" si="8"/>
        <v>0</v>
      </c>
    </row>
    <row r="552" spans="1:14" x14ac:dyDescent="0.25">
      <c r="A552">
        <v>492</v>
      </c>
      <c r="B552" s="1" t="s">
        <v>582</v>
      </c>
      <c r="C552" s="1" t="s">
        <v>14</v>
      </c>
      <c r="D552" s="1" t="s">
        <v>21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  <c r="N552" t="b">
        <f t="shared" si="8"/>
        <v>0</v>
      </c>
    </row>
    <row r="553" spans="1:14" x14ac:dyDescent="0.25">
      <c r="A553">
        <v>492</v>
      </c>
      <c r="B553" s="1" t="s">
        <v>583</v>
      </c>
      <c r="C553" s="1" t="s">
        <v>14</v>
      </c>
      <c r="D553" s="1" t="s">
        <v>24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  <c r="N553" t="b">
        <f t="shared" si="8"/>
        <v>0</v>
      </c>
    </row>
    <row r="554" spans="1:14" x14ac:dyDescent="0.25">
      <c r="A554">
        <v>493</v>
      </c>
      <c r="B554" s="1" t="s">
        <v>584</v>
      </c>
      <c r="C554" s="1" t="s">
        <v>42</v>
      </c>
      <c r="D554" s="1" t="s">
        <v>21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  <c r="N554" t="b">
        <f t="shared" si="8"/>
        <v>0</v>
      </c>
    </row>
    <row r="555" spans="1:14" x14ac:dyDescent="0.25">
      <c r="A555">
        <v>494</v>
      </c>
      <c r="B555" s="1" t="s">
        <v>585</v>
      </c>
      <c r="C555" s="1" t="s">
        <v>95</v>
      </c>
      <c r="D555" s="1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  <c r="N555" t="b">
        <f t="shared" si="8"/>
        <v>0</v>
      </c>
    </row>
    <row r="556" spans="1:14" x14ac:dyDescent="0.25">
      <c r="A556">
        <v>495</v>
      </c>
      <c r="B556" s="1" t="s">
        <v>586</v>
      </c>
      <c r="C556" s="1" t="s">
        <v>14</v>
      </c>
      <c r="D556" s="1" t="s">
        <v>21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  <c r="N556" t="b">
        <f t="shared" si="8"/>
        <v>0</v>
      </c>
    </row>
    <row r="557" spans="1:14" x14ac:dyDescent="0.25">
      <c r="A557">
        <v>496</v>
      </c>
      <c r="B557" s="1" t="s">
        <v>587</v>
      </c>
      <c r="C557" s="1" t="s">
        <v>14</v>
      </c>
      <c r="D557" s="1" t="s">
        <v>21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  <c r="N557" t="b">
        <f t="shared" si="8"/>
        <v>0</v>
      </c>
    </row>
    <row r="558" spans="1:14" x14ac:dyDescent="0.25">
      <c r="A558">
        <v>497</v>
      </c>
      <c r="B558" s="1" t="s">
        <v>588</v>
      </c>
      <c r="C558" s="1" t="s">
        <v>14</v>
      </c>
      <c r="D558" s="1" t="s">
        <v>21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  <c r="N558" t="b">
        <f t="shared" si="8"/>
        <v>0</v>
      </c>
    </row>
    <row r="559" spans="1:14" x14ac:dyDescent="0.25">
      <c r="A559">
        <v>498</v>
      </c>
      <c r="B559" s="1" t="s">
        <v>589</v>
      </c>
      <c r="C559" s="1" t="s">
        <v>20</v>
      </c>
      <c r="D559" s="1" t="s">
        <v>21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  <c r="N559" t="b">
        <f t="shared" si="8"/>
        <v>0</v>
      </c>
    </row>
    <row r="560" spans="1:14" x14ac:dyDescent="0.25">
      <c r="A560">
        <v>499</v>
      </c>
      <c r="B560" s="1" t="s">
        <v>590</v>
      </c>
      <c r="C560" s="1" t="s">
        <v>20</v>
      </c>
      <c r="D560" s="1" t="s">
        <v>87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  <c r="N560" t="b">
        <f t="shared" si="8"/>
        <v>0</v>
      </c>
    </row>
    <row r="561" spans="1:14" x14ac:dyDescent="0.25">
      <c r="A561">
        <v>500</v>
      </c>
      <c r="B561" s="1" t="s">
        <v>591</v>
      </c>
      <c r="C561" s="1" t="s">
        <v>20</v>
      </c>
      <c r="D561" s="1" t="s">
        <v>87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  <c r="N561" t="b">
        <f t="shared" si="8"/>
        <v>0</v>
      </c>
    </row>
    <row r="562" spans="1:14" x14ac:dyDescent="0.25">
      <c r="A562">
        <v>501</v>
      </c>
      <c r="B562" s="1" t="s">
        <v>592</v>
      </c>
      <c r="C562" s="1" t="s">
        <v>29</v>
      </c>
      <c r="D562" s="1" t="s">
        <v>21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  <c r="N562" t="b">
        <f t="shared" si="8"/>
        <v>0</v>
      </c>
    </row>
    <row r="563" spans="1:14" x14ac:dyDescent="0.25">
      <c r="A563">
        <v>502</v>
      </c>
      <c r="B563" s="1" t="s">
        <v>593</v>
      </c>
      <c r="C563" s="1" t="s">
        <v>29</v>
      </c>
      <c r="D563" s="1" t="s">
        <v>21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  <c r="N563" t="b">
        <f t="shared" si="8"/>
        <v>0</v>
      </c>
    </row>
    <row r="564" spans="1:14" x14ac:dyDescent="0.25">
      <c r="A564">
        <v>503</v>
      </c>
      <c r="B564" s="1" t="s">
        <v>594</v>
      </c>
      <c r="C564" s="1" t="s">
        <v>29</v>
      </c>
      <c r="D564" s="1" t="s">
        <v>21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  <c r="N564" t="b">
        <f t="shared" si="8"/>
        <v>0</v>
      </c>
    </row>
    <row r="565" spans="1:14" x14ac:dyDescent="0.25">
      <c r="A565">
        <v>504</v>
      </c>
      <c r="B565" s="1" t="s">
        <v>595</v>
      </c>
      <c r="C565" s="1" t="s">
        <v>42</v>
      </c>
      <c r="D565" s="1" t="s">
        <v>21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  <c r="N565" t="b">
        <f t="shared" si="8"/>
        <v>0</v>
      </c>
    </row>
    <row r="566" spans="1:14" x14ac:dyDescent="0.25">
      <c r="A566">
        <v>505</v>
      </c>
      <c r="B566" s="1" t="s">
        <v>596</v>
      </c>
      <c r="C566" s="1" t="s">
        <v>42</v>
      </c>
      <c r="D566" s="1" t="s">
        <v>21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  <c r="N566" t="b">
        <f t="shared" si="8"/>
        <v>0</v>
      </c>
    </row>
    <row r="567" spans="1:14" x14ac:dyDescent="0.25">
      <c r="A567">
        <v>506</v>
      </c>
      <c r="B567" s="1" t="s">
        <v>597</v>
      </c>
      <c r="C567" s="1" t="s">
        <v>42</v>
      </c>
      <c r="D567" s="1" t="s">
        <v>21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  <c r="N567" t="b">
        <f t="shared" si="8"/>
        <v>0</v>
      </c>
    </row>
    <row r="568" spans="1:14" x14ac:dyDescent="0.25">
      <c r="A568">
        <v>507</v>
      </c>
      <c r="B568" s="1" t="s">
        <v>598</v>
      </c>
      <c r="C568" s="1" t="s">
        <v>42</v>
      </c>
      <c r="D568" s="1" t="s">
        <v>21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  <c r="N568" t="b">
        <f t="shared" si="8"/>
        <v>0</v>
      </c>
    </row>
    <row r="569" spans="1:14" x14ac:dyDescent="0.25">
      <c r="A569">
        <v>508</v>
      </c>
      <c r="B569" s="1" t="s">
        <v>599</v>
      </c>
      <c r="C569" s="1" t="s">
        <v>42</v>
      </c>
      <c r="D569" s="1" t="s">
        <v>21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  <c r="N569" t="b">
        <f t="shared" si="8"/>
        <v>0</v>
      </c>
    </row>
    <row r="570" spans="1:14" x14ac:dyDescent="0.25">
      <c r="A570">
        <v>509</v>
      </c>
      <c r="B570" s="1" t="s">
        <v>600</v>
      </c>
      <c r="C570" s="1" t="s">
        <v>172</v>
      </c>
      <c r="D570" s="1" t="s">
        <v>21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  <c r="N570" t="b">
        <f t="shared" si="8"/>
        <v>0</v>
      </c>
    </row>
    <row r="571" spans="1:14" x14ac:dyDescent="0.25">
      <c r="A571">
        <v>510</v>
      </c>
      <c r="B571" s="1" t="s">
        <v>601</v>
      </c>
      <c r="C571" s="1" t="s">
        <v>172</v>
      </c>
      <c r="D571" s="1" t="s">
        <v>21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  <c r="N571" t="b">
        <f t="shared" si="8"/>
        <v>0</v>
      </c>
    </row>
    <row r="572" spans="1:14" x14ac:dyDescent="0.25">
      <c r="A572">
        <v>511</v>
      </c>
      <c r="B572" s="1" t="s">
        <v>602</v>
      </c>
      <c r="C572" s="1" t="s">
        <v>14</v>
      </c>
      <c r="D572" s="1" t="s">
        <v>21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  <c r="N572" t="b">
        <f t="shared" si="8"/>
        <v>0</v>
      </c>
    </row>
    <row r="573" spans="1:14" x14ac:dyDescent="0.25">
      <c r="A573">
        <v>512</v>
      </c>
      <c r="B573" s="1" t="s">
        <v>603</v>
      </c>
      <c r="C573" s="1" t="s">
        <v>14</v>
      </c>
      <c r="D573" s="1" t="s">
        <v>21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  <c r="N573" t="b">
        <f t="shared" si="8"/>
        <v>0</v>
      </c>
    </row>
    <row r="574" spans="1:14" x14ac:dyDescent="0.25">
      <c r="A574">
        <v>513</v>
      </c>
      <c r="B574" s="1" t="s">
        <v>604</v>
      </c>
      <c r="C574" s="1" t="s">
        <v>20</v>
      </c>
      <c r="D574" s="1" t="s">
        <v>21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  <c r="N574" t="b">
        <f t="shared" si="8"/>
        <v>0</v>
      </c>
    </row>
    <row r="575" spans="1:14" x14ac:dyDescent="0.25">
      <c r="A575">
        <v>514</v>
      </c>
      <c r="B575" s="1" t="s">
        <v>605</v>
      </c>
      <c r="C575" s="1" t="s">
        <v>20</v>
      </c>
      <c r="D575" s="1" t="s">
        <v>21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  <c r="N575" t="b">
        <f t="shared" si="8"/>
        <v>0</v>
      </c>
    </row>
    <row r="576" spans="1:14" x14ac:dyDescent="0.25">
      <c r="A576">
        <v>515</v>
      </c>
      <c r="B576" s="1" t="s">
        <v>606</v>
      </c>
      <c r="C576" s="1" t="s">
        <v>29</v>
      </c>
      <c r="D576" s="1" t="s">
        <v>21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  <c r="N576" t="b">
        <f t="shared" si="8"/>
        <v>0</v>
      </c>
    </row>
    <row r="577" spans="1:14" x14ac:dyDescent="0.25">
      <c r="A577">
        <v>516</v>
      </c>
      <c r="B577" s="1" t="s">
        <v>607</v>
      </c>
      <c r="C577" s="1" t="s">
        <v>29</v>
      </c>
      <c r="D577" s="1" t="s">
        <v>21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  <c r="N577" t="b">
        <f t="shared" si="8"/>
        <v>0</v>
      </c>
    </row>
    <row r="578" spans="1:14" x14ac:dyDescent="0.25">
      <c r="A578">
        <v>517</v>
      </c>
      <c r="B578" s="1" t="s">
        <v>608</v>
      </c>
      <c r="C578" s="1" t="s">
        <v>95</v>
      </c>
      <c r="D578" s="1" t="s">
        <v>21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  <c r="N578" t="b">
        <f t="shared" ref="N578:N641" si="9">COUNTIF(B578,"*Mega*")&gt;0</f>
        <v>0</v>
      </c>
    </row>
    <row r="579" spans="1:14" x14ac:dyDescent="0.25">
      <c r="A579">
        <v>518</v>
      </c>
      <c r="B579" s="1" t="s">
        <v>609</v>
      </c>
      <c r="C579" s="1" t="s">
        <v>95</v>
      </c>
      <c r="D579" s="1" t="s">
        <v>21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  <c r="N579" t="b">
        <f t="shared" si="9"/>
        <v>0</v>
      </c>
    </row>
    <row r="580" spans="1:14" x14ac:dyDescent="0.25">
      <c r="A580">
        <v>519</v>
      </c>
      <c r="B580" s="1" t="s">
        <v>610</v>
      </c>
      <c r="C580" s="1" t="s">
        <v>42</v>
      </c>
      <c r="D580" s="1" t="s">
        <v>24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  <c r="N580" t="b">
        <f t="shared" si="9"/>
        <v>0</v>
      </c>
    </row>
    <row r="581" spans="1:14" x14ac:dyDescent="0.25">
      <c r="A581">
        <v>520</v>
      </c>
      <c r="B581" s="1" t="s">
        <v>611</v>
      </c>
      <c r="C581" s="1" t="s">
        <v>42</v>
      </c>
      <c r="D581" s="1" t="s">
        <v>24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  <c r="N581" t="b">
        <f t="shared" si="9"/>
        <v>0</v>
      </c>
    </row>
    <row r="582" spans="1:14" x14ac:dyDescent="0.25">
      <c r="A582">
        <v>521</v>
      </c>
      <c r="B582" s="1" t="s">
        <v>612</v>
      </c>
      <c r="C582" s="1" t="s">
        <v>42</v>
      </c>
      <c r="D582" s="1" t="s">
        <v>24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  <c r="N582" t="b">
        <f t="shared" si="9"/>
        <v>0</v>
      </c>
    </row>
    <row r="583" spans="1:14" x14ac:dyDescent="0.25">
      <c r="A583">
        <v>522</v>
      </c>
      <c r="B583" s="1" t="s">
        <v>613</v>
      </c>
      <c r="C583" s="1" t="s">
        <v>53</v>
      </c>
      <c r="D583" s="1" t="s">
        <v>21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  <c r="N583" t="b">
        <f t="shared" si="9"/>
        <v>0</v>
      </c>
    </row>
    <row r="584" spans="1:14" x14ac:dyDescent="0.25">
      <c r="A584">
        <v>523</v>
      </c>
      <c r="B584" s="1" t="s">
        <v>614</v>
      </c>
      <c r="C584" s="1" t="s">
        <v>53</v>
      </c>
      <c r="D584" s="1" t="s">
        <v>21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  <c r="N584" t="b">
        <f t="shared" si="9"/>
        <v>0</v>
      </c>
    </row>
    <row r="585" spans="1:14" x14ac:dyDescent="0.25">
      <c r="A585">
        <v>524</v>
      </c>
      <c r="B585" s="1" t="s">
        <v>615</v>
      </c>
      <c r="C585" s="1" t="s">
        <v>108</v>
      </c>
      <c r="D585" s="1" t="s">
        <v>21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  <c r="N585" t="b">
        <f t="shared" si="9"/>
        <v>0</v>
      </c>
    </row>
    <row r="586" spans="1:14" x14ac:dyDescent="0.25">
      <c r="A586">
        <v>525</v>
      </c>
      <c r="B586" s="1" t="s">
        <v>616</v>
      </c>
      <c r="C586" s="1" t="s">
        <v>108</v>
      </c>
      <c r="D586" s="1" t="s">
        <v>21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  <c r="N586" t="b">
        <f t="shared" si="9"/>
        <v>0</v>
      </c>
    </row>
    <row r="587" spans="1:14" x14ac:dyDescent="0.25">
      <c r="A587">
        <v>526</v>
      </c>
      <c r="B587" s="1" t="s">
        <v>617</v>
      </c>
      <c r="C587" s="1" t="s">
        <v>108</v>
      </c>
      <c r="D587" s="1" t="s">
        <v>21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  <c r="N587" t="b">
        <f t="shared" si="9"/>
        <v>0</v>
      </c>
    </row>
    <row r="588" spans="1:14" x14ac:dyDescent="0.25">
      <c r="A588">
        <v>527</v>
      </c>
      <c r="B588" s="1" t="s">
        <v>618</v>
      </c>
      <c r="C588" s="1" t="s">
        <v>95</v>
      </c>
      <c r="D588" s="1" t="s">
        <v>24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  <c r="N588" t="b">
        <f t="shared" si="9"/>
        <v>0</v>
      </c>
    </row>
    <row r="589" spans="1:14" x14ac:dyDescent="0.25">
      <c r="A589">
        <v>528</v>
      </c>
      <c r="B589" s="1" t="s">
        <v>619</v>
      </c>
      <c r="C589" s="1" t="s">
        <v>95</v>
      </c>
      <c r="D589" s="1" t="s">
        <v>24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  <c r="N589" t="b">
        <f t="shared" si="9"/>
        <v>0</v>
      </c>
    </row>
    <row r="590" spans="1:14" x14ac:dyDescent="0.25">
      <c r="A590">
        <v>529</v>
      </c>
      <c r="B590" s="1" t="s">
        <v>620</v>
      </c>
      <c r="C590" s="1" t="s">
        <v>56</v>
      </c>
      <c r="D590" s="1" t="s">
        <v>21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  <c r="N590" t="b">
        <f t="shared" si="9"/>
        <v>0</v>
      </c>
    </row>
    <row r="591" spans="1:14" x14ac:dyDescent="0.25">
      <c r="A591">
        <v>530</v>
      </c>
      <c r="B591" s="1" t="s">
        <v>621</v>
      </c>
      <c r="C591" s="1" t="s">
        <v>56</v>
      </c>
      <c r="D591" s="1" t="s">
        <v>117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  <c r="N591" t="b">
        <f t="shared" si="9"/>
        <v>0</v>
      </c>
    </row>
    <row r="592" spans="1:14" x14ac:dyDescent="0.25">
      <c r="A592">
        <v>531</v>
      </c>
      <c r="B592" s="1" t="s">
        <v>622</v>
      </c>
      <c r="C592" s="1" t="s">
        <v>42</v>
      </c>
      <c r="D592" s="1" t="s">
        <v>21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  <c r="N592" t="b">
        <f t="shared" si="9"/>
        <v>0</v>
      </c>
    </row>
    <row r="593" spans="1:14" x14ac:dyDescent="0.25">
      <c r="A593">
        <v>531</v>
      </c>
      <c r="B593" s="1" t="s">
        <v>623</v>
      </c>
      <c r="C593" s="1" t="s">
        <v>42</v>
      </c>
      <c r="D593" s="1" t="s">
        <v>65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  <c r="N593" t="b">
        <f t="shared" si="9"/>
        <v>1</v>
      </c>
    </row>
    <row r="594" spans="1:14" x14ac:dyDescent="0.25">
      <c r="A594">
        <v>532</v>
      </c>
      <c r="B594" s="1" t="s">
        <v>624</v>
      </c>
      <c r="C594" s="1" t="s">
        <v>87</v>
      </c>
      <c r="D594" s="1" t="s">
        <v>21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  <c r="N594" t="b">
        <f t="shared" si="9"/>
        <v>0</v>
      </c>
    </row>
    <row r="595" spans="1:14" x14ac:dyDescent="0.25">
      <c r="A595">
        <v>533</v>
      </c>
      <c r="B595" s="1" t="s">
        <v>625</v>
      </c>
      <c r="C595" s="1" t="s">
        <v>87</v>
      </c>
      <c r="D595" s="1" t="s">
        <v>21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  <c r="N595" t="b">
        <f t="shared" si="9"/>
        <v>0</v>
      </c>
    </row>
    <row r="596" spans="1:14" x14ac:dyDescent="0.25">
      <c r="A596">
        <v>534</v>
      </c>
      <c r="B596" s="1" t="s">
        <v>626</v>
      </c>
      <c r="C596" s="1" t="s">
        <v>87</v>
      </c>
      <c r="D596" s="1" t="s">
        <v>21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  <c r="N596" t="b">
        <f t="shared" si="9"/>
        <v>0</v>
      </c>
    </row>
    <row r="597" spans="1:14" x14ac:dyDescent="0.25">
      <c r="A597">
        <v>535</v>
      </c>
      <c r="B597" s="1" t="s">
        <v>627</v>
      </c>
      <c r="C597" s="1" t="s">
        <v>29</v>
      </c>
      <c r="D597" s="1" t="s">
        <v>21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  <c r="N597" t="b">
        <f t="shared" si="9"/>
        <v>0</v>
      </c>
    </row>
    <row r="598" spans="1:14" x14ac:dyDescent="0.25">
      <c r="A598">
        <v>536</v>
      </c>
      <c r="B598" s="1" t="s">
        <v>628</v>
      </c>
      <c r="C598" s="1" t="s">
        <v>29</v>
      </c>
      <c r="D598" s="1" t="s">
        <v>56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  <c r="N598" t="b">
        <f t="shared" si="9"/>
        <v>0</v>
      </c>
    </row>
    <row r="599" spans="1:14" x14ac:dyDescent="0.25">
      <c r="A599">
        <v>537</v>
      </c>
      <c r="B599" s="1" t="s">
        <v>629</v>
      </c>
      <c r="C599" s="1" t="s">
        <v>29</v>
      </c>
      <c r="D599" s="1" t="s">
        <v>56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  <c r="N599" t="b">
        <f t="shared" si="9"/>
        <v>0</v>
      </c>
    </row>
    <row r="600" spans="1:14" x14ac:dyDescent="0.25">
      <c r="A600">
        <v>538</v>
      </c>
      <c r="B600" s="1" t="s">
        <v>630</v>
      </c>
      <c r="C600" s="1" t="s">
        <v>87</v>
      </c>
      <c r="D600" s="1" t="s">
        <v>21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  <c r="N600" t="b">
        <f t="shared" si="9"/>
        <v>0</v>
      </c>
    </row>
    <row r="601" spans="1:14" x14ac:dyDescent="0.25">
      <c r="A601">
        <v>539</v>
      </c>
      <c r="B601" s="1" t="s">
        <v>631</v>
      </c>
      <c r="C601" s="1" t="s">
        <v>87</v>
      </c>
      <c r="D601" s="1" t="s">
        <v>21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  <c r="N601" t="b">
        <f t="shared" si="9"/>
        <v>0</v>
      </c>
    </row>
    <row r="602" spans="1:14" x14ac:dyDescent="0.25">
      <c r="A602">
        <v>540</v>
      </c>
      <c r="B602" s="1" t="s">
        <v>632</v>
      </c>
      <c r="C602" s="1" t="s">
        <v>34</v>
      </c>
      <c r="D602" s="1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  <c r="N602" t="b">
        <f t="shared" si="9"/>
        <v>0</v>
      </c>
    </row>
    <row r="603" spans="1:14" x14ac:dyDescent="0.25">
      <c r="A603">
        <v>541</v>
      </c>
      <c r="B603" s="1" t="s">
        <v>633</v>
      </c>
      <c r="C603" s="1" t="s">
        <v>34</v>
      </c>
      <c r="D603" s="1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  <c r="N603" t="b">
        <f t="shared" si="9"/>
        <v>0</v>
      </c>
    </row>
    <row r="604" spans="1:14" x14ac:dyDescent="0.25">
      <c r="A604">
        <v>542</v>
      </c>
      <c r="B604" s="1" t="s">
        <v>634</v>
      </c>
      <c r="C604" s="1" t="s">
        <v>34</v>
      </c>
      <c r="D604" s="1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  <c r="N604" t="b">
        <f t="shared" si="9"/>
        <v>0</v>
      </c>
    </row>
    <row r="605" spans="1:14" x14ac:dyDescent="0.25">
      <c r="A605">
        <v>543</v>
      </c>
      <c r="B605" s="1" t="s">
        <v>635</v>
      </c>
      <c r="C605" s="1" t="s">
        <v>34</v>
      </c>
      <c r="D605" s="1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  <c r="N605" t="b">
        <f t="shared" si="9"/>
        <v>0</v>
      </c>
    </row>
    <row r="606" spans="1:14" x14ac:dyDescent="0.25">
      <c r="A606">
        <v>544</v>
      </c>
      <c r="B606" s="1" t="s">
        <v>636</v>
      </c>
      <c r="C606" s="1" t="s">
        <v>34</v>
      </c>
      <c r="D606" s="1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  <c r="N606" t="b">
        <f t="shared" si="9"/>
        <v>0</v>
      </c>
    </row>
    <row r="607" spans="1:14" x14ac:dyDescent="0.25">
      <c r="A607">
        <v>545</v>
      </c>
      <c r="B607" s="1" t="s">
        <v>637</v>
      </c>
      <c r="C607" s="1" t="s">
        <v>34</v>
      </c>
      <c r="D607" s="1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  <c r="N607" t="b">
        <f t="shared" si="9"/>
        <v>0</v>
      </c>
    </row>
    <row r="608" spans="1:14" x14ac:dyDescent="0.25">
      <c r="A608">
        <v>546</v>
      </c>
      <c r="B608" s="1" t="s">
        <v>638</v>
      </c>
      <c r="C608" s="1" t="s">
        <v>14</v>
      </c>
      <c r="D608" s="1" t="s">
        <v>65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  <c r="N608" t="b">
        <f t="shared" si="9"/>
        <v>0</v>
      </c>
    </row>
    <row r="609" spans="1:14" x14ac:dyDescent="0.25">
      <c r="A609">
        <v>547</v>
      </c>
      <c r="B609" s="1" t="s">
        <v>639</v>
      </c>
      <c r="C609" s="1" t="s">
        <v>14</v>
      </c>
      <c r="D609" s="1" t="s">
        <v>65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  <c r="N609" t="b">
        <f t="shared" si="9"/>
        <v>0</v>
      </c>
    </row>
    <row r="610" spans="1:14" x14ac:dyDescent="0.25">
      <c r="A610">
        <v>548</v>
      </c>
      <c r="B610" s="1" t="s">
        <v>640</v>
      </c>
      <c r="C610" s="1" t="s">
        <v>14</v>
      </c>
      <c r="D610" s="1" t="s">
        <v>21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  <c r="N610" t="b">
        <f t="shared" si="9"/>
        <v>0</v>
      </c>
    </row>
    <row r="611" spans="1:14" x14ac:dyDescent="0.25">
      <c r="A611">
        <v>549</v>
      </c>
      <c r="B611" s="1" t="s">
        <v>641</v>
      </c>
      <c r="C611" s="1" t="s">
        <v>14</v>
      </c>
      <c r="D611" s="1" t="s">
        <v>21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  <c r="N611" t="b">
        <f t="shared" si="9"/>
        <v>0</v>
      </c>
    </row>
    <row r="612" spans="1:14" x14ac:dyDescent="0.25">
      <c r="A612">
        <v>550</v>
      </c>
      <c r="B612" s="1" t="s">
        <v>642</v>
      </c>
      <c r="C612" s="1" t="s">
        <v>29</v>
      </c>
      <c r="D612" s="1" t="s">
        <v>21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  <c r="N612" t="b">
        <f t="shared" si="9"/>
        <v>0</v>
      </c>
    </row>
    <row r="613" spans="1:14" x14ac:dyDescent="0.25">
      <c r="A613">
        <v>551</v>
      </c>
      <c r="B613" s="1" t="s">
        <v>643</v>
      </c>
      <c r="C613" s="1" t="s">
        <v>56</v>
      </c>
      <c r="D613" s="1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  <c r="N613" t="b">
        <f t="shared" si="9"/>
        <v>0</v>
      </c>
    </row>
    <row r="614" spans="1:14" x14ac:dyDescent="0.25">
      <c r="A614">
        <v>552</v>
      </c>
      <c r="B614" s="1" t="s">
        <v>644</v>
      </c>
      <c r="C614" s="1" t="s">
        <v>56</v>
      </c>
      <c r="D614" s="1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  <c r="N614" t="b">
        <f t="shared" si="9"/>
        <v>0</v>
      </c>
    </row>
    <row r="615" spans="1:14" x14ac:dyDescent="0.25">
      <c r="A615">
        <v>553</v>
      </c>
      <c r="B615" s="1" t="s">
        <v>645</v>
      </c>
      <c r="C615" s="1" t="s">
        <v>56</v>
      </c>
      <c r="D615" s="1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  <c r="N615" t="b">
        <f t="shared" si="9"/>
        <v>0</v>
      </c>
    </row>
    <row r="616" spans="1:14" x14ac:dyDescent="0.25">
      <c r="A616">
        <v>554</v>
      </c>
      <c r="B616" s="1" t="s">
        <v>646</v>
      </c>
      <c r="C616" s="1" t="s">
        <v>20</v>
      </c>
      <c r="D616" s="1" t="s">
        <v>21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  <c r="N616" t="b">
        <f t="shared" si="9"/>
        <v>0</v>
      </c>
    </row>
    <row r="617" spans="1:14" x14ac:dyDescent="0.25">
      <c r="A617">
        <v>555</v>
      </c>
      <c r="B617" s="1" t="s">
        <v>647</v>
      </c>
      <c r="C617" s="1" t="s">
        <v>20</v>
      </c>
      <c r="D617" s="1" t="s">
        <v>21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  <c r="N617" t="b">
        <f t="shared" si="9"/>
        <v>0</v>
      </c>
    </row>
    <row r="618" spans="1:14" x14ac:dyDescent="0.25">
      <c r="A618">
        <v>555</v>
      </c>
      <c r="B618" s="1" t="s">
        <v>648</v>
      </c>
      <c r="C618" s="1" t="s">
        <v>20</v>
      </c>
      <c r="D618" s="1" t="s">
        <v>95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  <c r="N618" t="b">
        <f t="shared" si="9"/>
        <v>0</v>
      </c>
    </row>
    <row r="619" spans="1:14" x14ac:dyDescent="0.25">
      <c r="A619">
        <v>556</v>
      </c>
      <c r="B619" s="1" t="s">
        <v>649</v>
      </c>
      <c r="C619" s="1" t="s">
        <v>14</v>
      </c>
      <c r="D619" s="1" t="s">
        <v>21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  <c r="N619" t="b">
        <f t="shared" si="9"/>
        <v>0</v>
      </c>
    </row>
    <row r="620" spans="1:14" x14ac:dyDescent="0.25">
      <c r="A620">
        <v>557</v>
      </c>
      <c r="B620" s="1" t="s">
        <v>650</v>
      </c>
      <c r="C620" s="1" t="s">
        <v>34</v>
      </c>
      <c r="D620" s="1" t="s">
        <v>108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  <c r="N620" t="b">
        <f t="shared" si="9"/>
        <v>0</v>
      </c>
    </row>
    <row r="621" spans="1:14" x14ac:dyDescent="0.25">
      <c r="A621">
        <v>558</v>
      </c>
      <c r="B621" s="1" t="s">
        <v>651</v>
      </c>
      <c r="C621" s="1" t="s">
        <v>34</v>
      </c>
      <c r="D621" s="1" t="s">
        <v>108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  <c r="N621" t="b">
        <f t="shared" si="9"/>
        <v>0</v>
      </c>
    </row>
    <row r="622" spans="1:14" x14ac:dyDescent="0.25">
      <c r="A622">
        <v>559</v>
      </c>
      <c r="B622" s="1" t="s">
        <v>652</v>
      </c>
      <c r="C622" s="1" t="s">
        <v>172</v>
      </c>
      <c r="D622" s="1" t="s">
        <v>87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  <c r="N622" t="b">
        <f t="shared" si="9"/>
        <v>0</v>
      </c>
    </row>
    <row r="623" spans="1:14" x14ac:dyDescent="0.25">
      <c r="A623">
        <v>560</v>
      </c>
      <c r="B623" s="1" t="s">
        <v>653</v>
      </c>
      <c r="C623" s="1" t="s">
        <v>172</v>
      </c>
      <c r="D623" s="1" t="s">
        <v>87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  <c r="N623" t="b">
        <f t="shared" si="9"/>
        <v>0</v>
      </c>
    </row>
    <row r="624" spans="1:14" x14ac:dyDescent="0.25">
      <c r="A624">
        <v>561</v>
      </c>
      <c r="B624" s="1" t="s">
        <v>654</v>
      </c>
      <c r="C624" s="1" t="s">
        <v>95</v>
      </c>
      <c r="D624" s="1" t="s">
        <v>24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  <c r="N624" t="b">
        <f t="shared" si="9"/>
        <v>0</v>
      </c>
    </row>
    <row r="625" spans="1:14" x14ac:dyDescent="0.25">
      <c r="A625">
        <v>562</v>
      </c>
      <c r="B625" s="1" t="s">
        <v>655</v>
      </c>
      <c r="C625" s="1" t="s">
        <v>130</v>
      </c>
      <c r="D625" s="1" t="s">
        <v>21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  <c r="N625" t="b">
        <f t="shared" si="9"/>
        <v>0</v>
      </c>
    </row>
    <row r="626" spans="1:14" x14ac:dyDescent="0.25">
      <c r="A626">
        <v>563</v>
      </c>
      <c r="B626" s="1" t="s">
        <v>656</v>
      </c>
      <c r="C626" s="1" t="s">
        <v>130</v>
      </c>
      <c r="D626" s="1" t="s">
        <v>21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  <c r="N626" t="b">
        <f t="shared" si="9"/>
        <v>0</v>
      </c>
    </row>
    <row r="627" spans="1:14" x14ac:dyDescent="0.25">
      <c r="A627">
        <v>564</v>
      </c>
      <c r="B627" s="1" t="s">
        <v>657</v>
      </c>
      <c r="C627" s="1" t="s">
        <v>29</v>
      </c>
      <c r="D627" s="1" t="s">
        <v>108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  <c r="N627" t="b">
        <f t="shared" si="9"/>
        <v>0</v>
      </c>
    </row>
    <row r="628" spans="1:14" x14ac:dyDescent="0.25">
      <c r="A628">
        <v>565</v>
      </c>
      <c r="B628" s="1" t="s">
        <v>658</v>
      </c>
      <c r="C628" s="1" t="s">
        <v>29</v>
      </c>
      <c r="D628" s="1" t="s">
        <v>108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  <c r="N628" t="b">
        <f t="shared" si="9"/>
        <v>0</v>
      </c>
    </row>
    <row r="629" spans="1:14" x14ac:dyDescent="0.25">
      <c r="A629">
        <v>566</v>
      </c>
      <c r="B629" s="1" t="s">
        <v>659</v>
      </c>
      <c r="C629" s="1" t="s">
        <v>108</v>
      </c>
      <c r="D629" s="1" t="s">
        <v>24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  <c r="N629" t="b">
        <f t="shared" si="9"/>
        <v>0</v>
      </c>
    </row>
    <row r="630" spans="1:14" x14ac:dyDescent="0.25">
      <c r="A630">
        <v>567</v>
      </c>
      <c r="B630" s="1" t="s">
        <v>660</v>
      </c>
      <c r="C630" s="1" t="s">
        <v>108</v>
      </c>
      <c r="D630" s="1" t="s">
        <v>24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  <c r="N630" t="b">
        <f t="shared" si="9"/>
        <v>0</v>
      </c>
    </row>
    <row r="631" spans="1:14" x14ac:dyDescent="0.25">
      <c r="A631">
        <v>568</v>
      </c>
      <c r="B631" s="1" t="s">
        <v>661</v>
      </c>
      <c r="C631" s="1" t="s">
        <v>15</v>
      </c>
      <c r="D631" s="1" t="s">
        <v>21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  <c r="N631" t="b">
        <f t="shared" si="9"/>
        <v>0</v>
      </c>
    </row>
    <row r="632" spans="1:14" x14ac:dyDescent="0.25">
      <c r="A632">
        <v>569</v>
      </c>
      <c r="B632" s="1" t="s">
        <v>662</v>
      </c>
      <c r="C632" s="1" t="s">
        <v>15</v>
      </c>
      <c r="D632" s="1" t="s">
        <v>21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  <c r="N632" t="b">
        <f t="shared" si="9"/>
        <v>0</v>
      </c>
    </row>
    <row r="633" spans="1:14" x14ac:dyDescent="0.25">
      <c r="A633">
        <v>570</v>
      </c>
      <c r="B633" s="1" t="s">
        <v>663</v>
      </c>
      <c r="C633" s="1" t="s">
        <v>172</v>
      </c>
      <c r="D633" s="1" t="s">
        <v>21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  <c r="N633" t="b">
        <f t="shared" si="9"/>
        <v>0</v>
      </c>
    </row>
    <row r="634" spans="1:14" x14ac:dyDescent="0.25">
      <c r="A634">
        <v>571</v>
      </c>
      <c r="B634" s="1" t="s">
        <v>664</v>
      </c>
      <c r="C634" s="1" t="s">
        <v>172</v>
      </c>
      <c r="D634" s="1" t="s">
        <v>21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  <c r="N634" t="b">
        <f t="shared" si="9"/>
        <v>0</v>
      </c>
    </row>
    <row r="635" spans="1:14" x14ac:dyDescent="0.25">
      <c r="A635">
        <v>572</v>
      </c>
      <c r="B635" s="1" t="s">
        <v>665</v>
      </c>
      <c r="C635" s="1" t="s">
        <v>42</v>
      </c>
      <c r="D635" s="1" t="s">
        <v>21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  <c r="N635" t="b">
        <f t="shared" si="9"/>
        <v>0</v>
      </c>
    </row>
    <row r="636" spans="1:14" x14ac:dyDescent="0.25">
      <c r="A636">
        <v>573</v>
      </c>
      <c r="B636" s="1" t="s">
        <v>666</v>
      </c>
      <c r="C636" s="1" t="s">
        <v>42</v>
      </c>
      <c r="D636" s="1" t="s">
        <v>21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  <c r="N636" t="b">
        <f t="shared" si="9"/>
        <v>0</v>
      </c>
    </row>
    <row r="637" spans="1:14" x14ac:dyDescent="0.25">
      <c r="A637">
        <v>574</v>
      </c>
      <c r="B637" s="1" t="s">
        <v>667</v>
      </c>
      <c r="C637" s="1" t="s">
        <v>95</v>
      </c>
      <c r="D637" s="1" t="s">
        <v>21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  <c r="N637" t="b">
        <f t="shared" si="9"/>
        <v>0</v>
      </c>
    </row>
    <row r="638" spans="1:14" x14ac:dyDescent="0.25">
      <c r="A638">
        <v>575</v>
      </c>
      <c r="B638" s="1" t="s">
        <v>668</v>
      </c>
      <c r="C638" s="1" t="s">
        <v>95</v>
      </c>
      <c r="D638" s="1" t="s">
        <v>21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  <c r="N638" t="b">
        <f t="shared" si="9"/>
        <v>0</v>
      </c>
    </row>
    <row r="639" spans="1:14" x14ac:dyDescent="0.25">
      <c r="A639">
        <v>576</v>
      </c>
      <c r="B639" s="1" t="s">
        <v>669</v>
      </c>
      <c r="C639" s="1" t="s">
        <v>95</v>
      </c>
      <c r="D639" s="1" t="s">
        <v>21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  <c r="N639" t="b">
        <f t="shared" si="9"/>
        <v>0</v>
      </c>
    </row>
    <row r="640" spans="1:14" x14ac:dyDescent="0.25">
      <c r="A640">
        <v>577</v>
      </c>
      <c r="B640" s="1" t="s">
        <v>670</v>
      </c>
      <c r="C640" s="1" t="s">
        <v>95</v>
      </c>
      <c r="D640" s="1" t="s">
        <v>21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  <c r="N640" t="b">
        <f t="shared" si="9"/>
        <v>0</v>
      </c>
    </row>
    <row r="641" spans="1:14" x14ac:dyDescent="0.25">
      <c r="A641">
        <v>578</v>
      </c>
      <c r="B641" s="1" t="s">
        <v>671</v>
      </c>
      <c r="C641" s="1" t="s">
        <v>95</v>
      </c>
      <c r="D641" s="1" t="s">
        <v>21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  <c r="N641" t="b">
        <f t="shared" si="9"/>
        <v>0</v>
      </c>
    </row>
    <row r="642" spans="1:14" x14ac:dyDescent="0.25">
      <c r="A642">
        <v>579</v>
      </c>
      <c r="B642" s="1" t="s">
        <v>672</v>
      </c>
      <c r="C642" s="1" t="s">
        <v>95</v>
      </c>
      <c r="D642" s="1" t="s">
        <v>21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  <c r="N642" t="b">
        <f t="shared" ref="N642:N705" si="10">COUNTIF(B642,"*Mega*")&gt;0</f>
        <v>0</v>
      </c>
    </row>
    <row r="643" spans="1:14" x14ac:dyDescent="0.25">
      <c r="A643">
        <v>580</v>
      </c>
      <c r="B643" s="1" t="s">
        <v>673</v>
      </c>
      <c r="C643" s="1" t="s">
        <v>29</v>
      </c>
      <c r="D643" s="1" t="s">
        <v>24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  <c r="N643" t="b">
        <f t="shared" si="10"/>
        <v>0</v>
      </c>
    </row>
    <row r="644" spans="1:14" x14ac:dyDescent="0.25">
      <c r="A644">
        <v>581</v>
      </c>
      <c r="B644" s="1" t="s">
        <v>674</v>
      </c>
      <c r="C644" s="1" t="s">
        <v>29</v>
      </c>
      <c r="D644" s="1" t="s">
        <v>24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  <c r="N644" t="b">
        <f t="shared" si="10"/>
        <v>0</v>
      </c>
    </row>
    <row r="645" spans="1:14" x14ac:dyDescent="0.25">
      <c r="A645">
        <v>582</v>
      </c>
      <c r="B645" s="1" t="s">
        <v>675</v>
      </c>
      <c r="C645" s="1" t="s">
        <v>124</v>
      </c>
      <c r="D645" s="1" t="s">
        <v>21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  <c r="N645" t="b">
        <f t="shared" si="10"/>
        <v>0</v>
      </c>
    </row>
    <row r="646" spans="1:14" x14ac:dyDescent="0.25">
      <c r="A646">
        <v>583</v>
      </c>
      <c r="B646" s="1" t="s">
        <v>676</v>
      </c>
      <c r="C646" s="1" t="s">
        <v>124</v>
      </c>
      <c r="D646" s="1" t="s">
        <v>21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  <c r="N646" t="b">
        <f t="shared" si="10"/>
        <v>0</v>
      </c>
    </row>
    <row r="647" spans="1:14" x14ac:dyDescent="0.25">
      <c r="A647">
        <v>584</v>
      </c>
      <c r="B647" s="1" t="s">
        <v>677</v>
      </c>
      <c r="C647" s="1" t="s">
        <v>124</v>
      </c>
      <c r="D647" s="1" t="s">
        <v>21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  <c r="N647" t="b">
        <f t="shared" si="10"/>
        <v>0</v>
      </c>
    </row>
    <row r="648" spans="1:14" x14ac:dyDescent="0.25">
      <c r="A648">
        <v>585</v>
      </c>
      <c r="B648" s="1" t="s">
        <v>678</v>
      </c>
      <c r="C648" s="1" t="s">
        <v>42</v>
      </c>
      <c r="D648" s="1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  <c r="N648" t="b">
        <f t="shared" si="10"/>
        <v>0</v>
      </c>
    </row>
    <row r="649" spans="1:14" x14ac:dyDescent="0.25">
      <c r="A649">
        <v>586</v>
      </c>
      <c r="B649" s="1" t="s">
        <v>679</v>
      </c>
      <c r="C649" s="1" t="s">
        <v>42</v>
      </c>
      <c r="D649" s="1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  <c r="N649" t="b">
        <f t="shared" si="10"/>
        <v>0</v>
      </c>
    </row>
    <row r="650" spans="1:14" x14ac:dyDescent="0.25">
      <c r="A650">
        <v>587</v>
      </c>
      <c r="B650" s="1" t="s">
        <v>680</v>
      </c>
      <c r="C650" s="1" t="s">
        <v>53</v>
      </c>
      <c r="D650" s="1" t="s">
        <v>24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  <c r="N650" t="b">
        <f t="shared" si="10"/>
        <v>0</v>
      </c>
    </row>
    <row r="651" spans="1:14" x14ac:dyDescent="0.25">
      <c r="A651">
        <v>588</v>
      </c>
      <c r="B651" s="1" t="s">
        <v>681</v>
      </c>
      <c r="C651" s="1" t="s">
        <v>34</v>
      </c>
      <c r="D651" s="1" t="s">
        <v>21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  <c r="N651" t="b">
        <f t="shared" si="10"/>
        <v>0</v>
      </c>
    </row>
    <row r="652" spans="1:14" x14ac:dyDescent="0.25">
      <c r="A652">
        <v>589</v>
      </c>
      <c r="B652" s="1" t="s">
        <v>682</v>
      </c>
      <c r="C652" s="1" t="s">
        <v>34</v>
      </c>
      <c r="D652" s="1" t="s">
        <v>117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  <c r="N652" t="b">
        <f t="shared" si="10"/>
        <v>0</v>
      </c>
    </row>
    <row r="653" spans="1:14" x14ac:dyDescent="0.25">
      <c r="A653">
        <v>590</v>
      </c>
      <c r="B653" s="1" t="s">
        <v>683</v>
      </c>
      <c r="C653" s="1" t="s">
        <v>14</v>
      </c>
      <c r="D653" s="1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  <c r="N653" t="b">
        <f t="shared" si="10"/>
        <v>0</v>
      </c>
    </row>
    <row r="654" spans="1:14" x14ac:dyDescent="0.25">
      <c r="A654">
        <v>591</v>
      </c>
      <c r="B654" s="1" t="s">
        <v>684</v>
      </c>
      <c r="C654" s="1" t="s">
        <v>14</v>
      </c>
      <c r="D654" s="1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  <c r="N654" t="b">
        <f t="shared" si="10"/>
        <v>0</v>
      </c>
    </row>
    <row r="655" spans="1:14" x14ac:dyDescent="0.25">
      <c r="A655">
        <v>592</v>
      </c>
      <c r="B655" s="1" t="s">
        <v>685</v>
      </c>
      <c r="C655" s="1" t="s">
        <v>29</v>
      </c>
      <c r="D655" s="1" t="s">
        <v>130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  <c r="N655" t="b">
        <f t="shared" si="10"/>
        <v>0</v>
      </c>
    </row>
    <row r="656" spans="1:14" x14ac:dyDescent="0.25">
      <c r="A656">
        <v>593</v>
      </c>
      <c r="B656" s="1" t="s">
        <v>686</v>
      </c>
      <c r="C656" s="1" t="s">
        <v>29</v>
      </c>
      <c r="D656" s="1" t="s">
        <v>130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  <c r="N656" t="b">
        <f t="shared" si="10"/>
        <v>0</v>
      </c>
    </row>
    <row r="657" spans="1:14" x14ac:dyDescent="0.25">
      <c r="A657">
        <v>594</v>
      </c>
      <c r="B657" s="1" t="s">
        <v>687</v>
      </c>
      <c r="C657" s="1" t="s">
        <v>29</v>
      </c>
      <c r="D657" s="1" t="s">
        <v>21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  <c r="N657" t="b">
        <f t="shared" si="10"/>
        <v>0</v>
      </c>
    </row>
    <row r="658" spans="1:14" x14ac:dyDescent="0.25">
      <c r="A658">
        <v>595</v>
      </c>
      <c r="B658" s="1" t="s">
        <v>688</v>
      </c>
      <c r="C658" s="1" t="s">
        <v>34</v>
      </c>
      <c r="D658" s="1" t="s">
        <v>53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  <c r="N658" t="b">
        <f t="shared" si="10"/>
        <v>0</v>
      </c>
    </row>
    <row r="659" spans="1:14" x14ac:dyDescent="0.25">
      <c r="A659">
        <v>596</v>
      </c>
      <c r="B659" s="1" t="s">
        <v>689</v>
      </c>
      <c r="C659" s="1" t="s">
        <v>34</v>
      </c>
      <c r="D659" s="1" t="s">
        <v>53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  <c r="N659" t="b">
        <f t="shared" si="10"/>
        <v>0</v>
      </c>
    </row>
    <row r="660" spans="1:14" x14ac:dyDescent="0.25">
      <c r="A660">
        <v>597</v>
      </c>
      <c r="B660" s="1" t="s">
        <v>690</v>
      </c>
      <c r="C660" s="1" t="s">
        <v>14</v>
      </c>
      <c r="D660" s="1" t="s">
        <v>117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  <c r="N660" t="b">
        <f t="shared" si="10"/>
        <v>0</v>
      </c>
    </row>
    <row r="661" spans="1:14" x14ac:dyDescent="0.25">
      <c r="A661">
        <v>598</v>
      </c>
      <c r="B661" s="1" t="s">
        <v>691</v>
      </c>
      <c r="C661" s="1" t="s">
        <v>14</v>
      </c>
      <c r="D661" s="1" t="s">
        <v>117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  <c r="N661" t="b">
        <f t="shared" si="10"/>
        <v>0</v>
      </c>
    </row>
    <row r="662" spans="1:14" x14ac:dyDescent="0.25">
      <c r="A662">
        <v>599</v>
      </c>
      <c r="B662" s="1" t="s">
        <v>692</v>
      </c>
      <c r="C662" s="1" t="s">
        <v>117</v>
      </c>
      <c r="D662" s="1" t="s">
        <v>21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  <c r="N662" t="b">
        <f t="shared" si="10"/>
        <v>0</v>
      </c>
    </row>
    <row r="663" spans="1:14" x14ac:dyDescent="0.25">
      <c r="A663">
        <v>600</v>
      </c>
      <c r="B663" s="1" t="s">
        <v>693</v>
      </c>
      <c r="C663" s="1" t="s">
        <v>117</v>
      </c>
      <c r="D663" s="1" t="s">
        <v>21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  <c r="N663" t="b">
        <f t="shared" si="10"/>
        <v>0</v>
      </c>
    </row>
    <row r="664" spans="1:14" x14ac:dyDescent="0.25">
      <c r="A664">
        <v>601</v>
      </c>
      <c r="B664" s="1" t="s">
        <v>694</v>
      </c>
      <c r="C664" s="1" t="s">
        <v>117</v>
      </c>
      <c r="D664" s="1" t="s">
        <v>21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  <c r="N664" t="b">
        <f t="shared" si="10"/>
        <v>0</v>
      </c>
    </row>
    <row r="665" spans="1:14" x14ac:dyDescent="0.25">
      <c r="A665">
        <v>602</v>
      </c>
      <c r="B665" s="1" t="s">
        <v>695</v>
      </c>
      <c r="C665" s="1" t="s">
        <v>53</v>
      </c>
      <c r="D665" s="1" t="s">
        <v>21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  <c r="N665" t="b">
        <f t="shared" si="10"/>
        <v>0</v>
      </c>
    </row>
    <row r="666" spans="1:14" x14ac:dyDescent="0.25">
      <c r="A666">
        <v>603</v>
      </c>
      <c r="B666" s="1" t="s">
        <v>696</v>
      </c>
      <c r="C666" s="1" t="s">
        <v>53</v>
      </c>
      <c r="D666" s="1" t="s">
        <v>21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  <c r="N666" t="b">
        <f t="shared" si="10"/>
        <v>0</v>
      </c>
    </row>
    <row r="667" spans="1:14" x14ac:dyDescent="0.25">
      <c r="A667">
        <v>604</v>
      </c>
      <c r="B667" s="1" t="s">
        <v>697</v>
      </c>
      <c r="C667" s="1" t="s">
        <v>53</v>
      </c>
      <c r="D667" s="1" t="s">
        <v>21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  <c r="N667" t="b">
        <f t="shared" si="10"/>
        <v>0</v>
      </c>
    </row>
    <row r="668" spans="1:14" x14ac:dyDescent="0.25">
      <c r="A668">
        <v>605</v>
      </c>
      <c r="B668" s="1" t="s">
        <v>698</v>
      </c>
      <c r="C668" s="1" t="s">
        <v>95</v>
      </c>
      <c r="D668" s="1" t="s">
        <v>21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  <c r="N668" t="b">
        <f t="shared" si="10"/>
        <v>0</v>
      </c>
    </row>
    <row r="669" spans="1:14" x14ac:dyDescent="0.25">
      <c r="A669">
        <v>606</v>
      </c>
      <c r="B669" s="1" t="s">
        <v>699</v>
      </c>
      <c r="C669" s="1" t="s">
        <v>95</v>
      </c>
      <c r="D669" s="1" t="s">
        <v>21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  <c r="N669" t="b">
        <f t="shared" si="10"/>
        <v>0</v>
      </c>
    </row>
    <row r="670" spans="1:14" x14ac:dyDescent="0.25">
      <c r="A670">
        <v>607</v>
      </c>
      <c r="B670" s="1" t="s">
        <v>700</v>
      </c>
      <c r="C670" s="1" t="s">
        <v>130</v>
      </c>
      <c r="D670" s="1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  <c r="N670" t="b">
        <f t="shared" si="10"/>
        <v>0</v>
      </c>
    </row>
    <row r="671" spans="1:14" x14ac:dyDescent="0.25">
      <c r="A671">
        <v>608</v>
      </c>
      <c r="B671" s="1" t="s">
        <v>701</v>
      </c>
      <c r="C671" s="1" t="s">
        <v>130</v>
      </c>
      <c r="D671" s="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  <c r="N671" t="b">
        <f t="shared" si="10"/>
        <v>0</v>
      </c>
    </row>
    <row r="672" spans="1:14" x14ac:dyDescent="0.25">
      <c r="A672">
        <v>609</v>
      </c>
      <c r="B672" s="1" t="s">
        <v>702</v>
      </c>
      <c r="C672" s="1" t="s">
        <v>130</v>
      </c>
      <c r="D672" s="1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  <c r="N672" t="b">
        <f t="shared" si="10"/>
        <v>0</v>
      </c>
    </row>
    <row r="673" spans="1:14" x14ac:dyDescent="0.25">
      <c r="A673">
        <v>610</v>
      </c>
      <c r="B673" s="1" t="s">
        <v>703</v>
      </c>
      <c r="C673" s="1" t="s">
        <v>26</v>
      </c>
      <c r="D673" s="1" t="s">
        <v>21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  <c r="N673" t="b">
        <f t="shared" si="10"/>
        <v>0</v>
      </c>
    </row>
    <row r="674" spans="1:14" x14ac:dyDescent="0.25">
      <c r="A674">
        <v>611</v>
      </c>
      <c r="B674" s="1" t="s">
        <v>704</v>
      </c>
      <c r="C674" s="1" t="s">
        <v>26</v>
      </c>
      <c r="D674" s="1" t="s">
        <v>21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  <c r="N674" t="b">
        <f t="shared" si="10"/>
        <v>0</v>
      </c>
    </row>
    <row r="675" spans="1:14" x14ac:dyDescent="0.25">
      <c r="A675">
        <v>612</v>
      </c>
      <c r="B675" s="1" t="s">
        <v>705</v>
      </c>
      <c r="C675" s="1" t="s">
        <v>26</v>
      </c>
      <c r="D675" s="1" t="s">
        <v>21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  <c r="N675" t="b">
        <f t="shared" si="10"/>
        <v>0</v>
      </c>
    </row>
    <row r="676" spans="1:14" x14ac:dyDescent="0.25">
      <c r="A676">
        <v>613</v>
      </c>
      <c r="B676" s="1" t="s">
        <v>706</v>
      </c>
      <c r="C676" s="1" t="s">
        <v>124</v>
      </c>
      <c r="D676" s="1" t="s">
        <v>21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  <c r="N676" t="b">
        <f t="shared" si="10"/>
        <v>0</v>
      </c>
    </row>
    <row r="677" spans="1:14" x14ac:dyDescent="0.25">
      <c r="A677">
        <v>614</v>
      </c>
      <c r="B677" s="1" t="s">
        <v>707</v>
      </c>
      <c r="C677" s="1" t="s">
        <v>124</v>
      </c>
      <c r="D677" s="1" t="s">
        <v>21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  <c r="N677" t="b">
        <f t="shared" si="10"/>
        <v>0</v>
      </c>
    </row>
    <row r="678" spans="1:14" x14ac:dyDescent="0.25">
      <c r="A678">
        <v>615</v>
      </c>
      <c r="B678" s="1" t="s">
        <v>708</v>
      </c>
      <c r="C678" s="1" t="s">
        <v>124</v>
      </c>
      <c r="D678" s="1" t="s">
        <v>21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  <c r="N678" t="b">
        <f t="shared" si="10"/>
        <v>0</v>
      </c>
    </row>
    <row r="679" spans="1:14" x14ac:dyDescent="0.25">
      <c r="A679">
        <v>616</v>
      </c>
      <c r="B679" s="1" t="s">
        <v>709</v>
      </c>
      <c r="C679" s="1" t="s">
        <v>34</v>
      </c>
      <c r="D679" s="1" t="s">
        <v>21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  <c r="N679" t="b">
        <f t="shared" si="10"/>
        <v>0</v>
      </c>
    </row>
    <row r="680" spans="1:14" x14ac:dyDescent="0.25">
      <c r="A680">
        <v>617</v>
      </c>
      <c r="B680" s="1" t="s">
        <v>710</v>
      </c>
      <c r="C680" s="1" t="s">
        <v>34</v>
      </c>
      <c r="D680" s="1" t="s">
        <v>21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  <c r="N680" t="b">
        <f t="shared" si="10"/>
        <v>0</v>
      </c>
    </row>
    <row r="681" spans="1:14" x14ac:dyDescent="0.25">
      <c r="A681">
        <v>618</v>
      </c>
      <c r="B681" s="1" t="s">
        <v>711</v>
      </c>
      <c r="C681" s="1" t="s">
        <v>56</v>
      </c>
      <c r="D681" s="1" t="s">
        <v>53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  <c r="N681" t="b">
        <f t="shared" si="10"/>
        <v>0</v>
      </c>
    </row>
    <row r="682" spans="1:14" x14ac:dyDescent="0.25">
      <c r="A682">
        <v>619</v>
      </c>
      <c r="B682" s="1" t="s">
        <v>712</v>
      </c>
      <c r="C682" s="1" t="s">
        <v>87</v>
      </c>
      <c r="D682" s="1" t="s">
        <v>21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  <c r="N682" t="b">
        <f t="shared" si="10"/>
        <v>0</v>
      </c>
    </row>
    <row r="683" spans="1:14" x14ac:dyDescent="0.25">
      <c r="A683">
        <v>620</v>
      </c>
      <c r="B683" s="1" t="s">
        <v>713</v>
      </c>
      <c r="C683" s="1" t="s">
        <v>87</v>
      </c>
      <c r="D683" s="1" t="s">
        <v>21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  <c r="N683" t="b">
        <f t="shared" si="10"/>
        <v>0</v>
      </c>
    </row>
    <row r="684" spans="1:14" x14ac:dyDescent="0.25">
      <c r="A684">
        <v>621</v>
      </c>
      <c r="B684" s="1" t="s">
        <v>714</v>
      </c>
      <c r="C684" s="1" t="s">
        <v>26</v>
      </c>
      <c r="D684" s="1" t="s">
        <v>21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  <c r="N684" t="b">
        <f t="shared" si="10"/>
        <v>0</v>
      </c>
    </row>
    <row r="685" spans="1:14" x14ac:dyDescent="0.25">
      <c r="A685">
        <v>622</v>
      </c>
      <c r="B685" s="1" t="s">
        <v>715</v>
      </c>
      <c r="C685" s="1" t="s">
        <v>56</v>
      </c>
      <c r="D685" s="1" t="s">
        <v>130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  <c r="N685" t="b">
        <f t="shared" si="10"/>
        <v>0</v>
      </c>
    </row>
    <row r="686" spans="1:14" x14ac:dyDescent="0.25">
      <c r="A686">
        <v>623</v>
      </c>
      <c r="B686" s="1" t="s">
        <v>716</v>
      </c>
      <c r="C686" s="1" t="s">
        <v>56</v>
      </c>
      <c r="D686" s="1" t="s">
        <v>130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  <c r="N686" t="b">
        <f t="shared" si="10"/>
        <v>0</v>
      </c>
    </row>
    <row r="687" spans="1:14" x14ac:dyDescent="0.25">
      <c r="A687">
        <v>624</v>
      </c>
      <c r="B687" s="1" t="s">
        <v>717</v>
      </c>
      <c r="C687" s="1" t="s">
        <v>172</v>
      </c>
      <c r="D687" s="1" t="s">
        <v>117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  <c r="N687" t="b">
        <f t="shared" si="10"/>
        <v>0</v>
      </c>
    </row>
    <row r="688" spans="1:14" x14ac:dyDescent="0.25">
      <c r="A688">
        <v>625</v>
      </c>
      <c r="B688" s="1" t="s">
        <v>718</v>
      </c>
      <c r="C688" s="1" t="s">
        <v>172</v>
      </c>
      <c r="D688" s="1" t="s">
        <v>117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  <c r="N688" t="b">
        <f t="shared" si="10"/>
        <v>0</v>
      </c>
    </row>
    <row r="689" spans="1:14" x14ac:dyDescent="0.25">
      <c r="A689">
        <v>626</v>
      </c>
      <c r="B689" s="1" t="s">
        <v>719</v>
      </c>
      <c r="C689" s="1" t="s">
        <v>42</v>
      </c>
      <c r="D689" s="1" t="s">
        <v>21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  <c r="N689" t="b">
        <f t="shared" si="10"/>
        <v>0</v>
      </c>
    </row>
    <row r="690" spans="1:14" x14ac:dyDescent="0.25">
      <c r="A690">
        <v>627</v>
      </c>
      <c r="B690" s="1" t="s">
        <v>720</v>
      </c>
      <c r="C690" s="1" t="s">
        <v>42</v>
      </c>
      <c r="D690" s="1" t="s">
        <v>24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  <c r="N690" t="b">
        <f t="shared" si="10"/>
        <v>0</v>
      </c>
    </row>
    <row r="691" spans="1:14" x14ac:dyDescent="0.25">
      <c r="A691">
        <v>628</v>
      </c>
      <c r="B691" s="1" t="s">
        <v>721</v>
      </c>
      <c r="C691" s="1" t="s">
        <v>42</v>
      </c>
      <c r="D691" s="1" t="s">
        <v>24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  <c r="N691" t="b">
        <f t="shared" si="10"/>
        <v>0</v>
      </c>
    </row>
    <row r="692" spans="1:14" x14ac:dyDescent="0.25">
      <c r="A692">
        <v>629</v>
      </c>
      <c r="B692" s="1" t="s">
        <v>722</v>
      </c>
      <c r="C692" s="1" t="s">
        <v>172</v>
      </c>
      <c r="D692" s="1" t="s">
        <v>24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  <c r="N692" t="b">
        <f t="shared" si="10"/>
        <v>0</v>
      </c>
    </row>
    <row r="693" spans="1:14" x14ac:dyDescent="0.25">
      <c r="A693">
        <v>630</v>
      </c>
      <c r="B693" s="1" t="s">
        <v>723</v>
      </c>
      <c r="C693" s="1" t="s">
        <v>172</v>
      </c>
      <c r="D693" s="1" t="s">
        <v>24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  <c r="N693" t="b">
        <f t="shared" si="10"/>
        <v>0</v>
      </c>
    </row>
    <row r="694" spans="1:14" x14ac:dyDescent="0.25">
      <c r="A694">
        <v>631</v>
      </c>
      <c r="B694" s="1" t="s">
        <v>724</v>
      </c>
      <c r="C694" s="1" t="s">
        <v>20</v>
      </c>
      <c r="D694" s="1" t="s">
        <v>21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  <c r="N694" t="b">
        <f t="shared" si="10"/>
        <v>0</v>
      </c>
    </row>
    <row r="695" spans="1:14" x14ac:dyDescent="0.25">
      <c r="A695">
        <v>632</v>
      </c>
      <c r="B695" s="1" t="s">
        <v>725</v>
      </c>
      <c r="C695" s="1" t="s">
        <v>34</v>
      </c>
      <c r="D695" s="1" t="s">
        <v>117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  <c r="N695" t="b">
        <f t="shared" si="10"/>
        <v>0</v>
      </c>
    </row>
    <row r="696" spans="1:14" x14ac:dyDescent="0.25">
      <c r="A696">
        <v>633</v>
      </c>
      <c r="B696" s="1" t="s">
        <v>726</v>
      </c>
      <c r="C696" s="1" t="s">
        <v>172</v>
      </c>
      <c r="D696" s="1" t="s">
        <v>26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  <c r="N696" t="b">
        <f t="shared" si="10"/>
        <v>0</v>
      </c>
    </row>
    <row r="697" spans="1:14" x14ac:dyDescent="0.25">
      <c r="A697">
        <v>634</v>
      </c>
      <c r="B697" s="1" t="s">
        <v>727</v>
      </c>
      <c r="C697" s="1" t="s">
        <v>172</v>
      </c>
      <c r="D697" s="1" t="s">
        <v>26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  <c r="N697" t="b">
        <f t="shared" si="10"/>
        <v>0</v>
      </c>
    </row>
    <row r="698" spans="1:14" x14ac:dyDescent="0.25">
      <c r="A698">
        <v>635</v>
      </c>
      <c r="B698" s="1" t="s">
        <v>728</v>
      </c>
      <c r="C698" s="1" t="s">
        <v>172</v>
      </c>
      <c r="D698" s="1" t="s">
        <v>26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  <c r="N698" t="b">
        <f t="shared" si="10"/>
        <v>0</v>
      </c>
    </row>
    <row r="699" spans="1:14" x14ac:dyDescent="0.25">
      <c r="A699">
        <v>636</v>
      </c>
      <c r="B699" s="1" t="s">
        <v>729</v>
      </c>
      <c r="C699" s="1" t="s">
        <v>34</v>
      </c>
      <c r="D699" s="1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  <c r="N699" t="b">
        <f t="shared" si="10"/>
        <v>0</v>
      </c>
    </row>
    <row r="700" spans="1:14" x14ac:dyDescent="0.25">
      <c r="A700">
        <v>637</v>
      </c>
      <c r="B700" s="1" t="s">
        <v>730</v>
      </c>
      <c r="C700" s="1" t="s">
        <v>34</v>
      </c>
      <c r="D700" s="1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  <c r="N700" t="b">
        <f t="shared" si="10"/>
        <v>0</v>
      </c>
    </row>
    <row r="701" spans="1:14" x14ac:dyDescent="0.25">
      <c r="A701">
        <v>638</v>
      </c>
      <c r="B701" s="1" t="s">
        <v>731</v>
      </c>
      <c r="C701" s="1" t="s">
        <v>117</v>
      </c>
      <c r="D701" s="1" t="s">
        <v>87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  <c r="N701" t="b">
        <f t="shared" si="10"/>
        <v>0</v>
      </c>
    </row>
    <row r="702" spans="1:14" x14ac:dyDescent="0.25">
      <c r="A702">
        <v>639</v>
      </c>
      <c r="B702" s="1" t="s">
        <v>732</v>
      </c>
      <c r="C702" s="1" t="s">
        <v>108</v>
      </c>
      <c r="D702" s="1" t="s">
        <v>87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  <c r="N702" t="b">
        <f t="shared" si="10"/>
        <v>0</v>
      </c>
    </row>
    <row r="703" spans="1:14" x14ac:dyDescent="0.25">
      <c r="A703">
        <v>640</v>
      </c>
      <c r="B703" s="1" t="s">
        <v>733</v>
      </c>
      <c r="C703" s="1" t="s">
        <v>14</v>
      </c>
      <c r="D703" s="1" t="s">
        <v>87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  <c r="N703" t="b">
        <f t="shared" si="10"/>
        <v>0</v>
      </c>
    </row>
    <row r="704" spans="1:14" x14ac:dyDescent="0.25">
      <c r="A704">
        <v>641</v>
      </c>
      <c r="B704" s="1" t="s">
        <v>734</v>
      </c>
      <c r="C704" s="1" t="s">
        <v>24</v>
      </c>
      <c r="D704" s="1" t="s">
        <v>21</v>
      </c>
      <c r="E704">
        <v>580</v>
      </c>
      <c r="F704">
        <v>79</v>
      </c>
      <c r="G704">
        <v>100</v>
      </c>
      <c r="H704">
        <v>80</v>
      </c>
      <c r="I704">
        <v>110</v>
      </c>
      <c r="J704">
        <v>90</v>
      </c>
      <c r="K704">
        <v>121</v>
      </c>
      <c r="L704">
        <v>5</v>
      </c>
      <c r="M704" t="b">
        <v>1</v>
      </c>
      <c r="N704" t="b">
        <f t="shared" si="10"/>
        <v>0</v>
      </c>
    </row>
    <row r="705" spans="1:14" x14ac:dyDescent="0.25">
      <c r="A705">
        <v>641</v>
      </c>
      <c r="B705" s="1" t="s">
        <v>735</v>
      </c>
      <c r="C705" s="1" t="s">
        <v>24</v>
      </c>
      <c r="D705" s="1" t="s">
        <v>21</v>
      </c>
      <c r="E705">
        <v>580</v>
      </c>
      <c r="F705">
        <v>79</v>
      </c>
      <c r="G705">
        <v>115</v>
      </c>
      <c r="H705">
        <v>70</v>
      </c>
      <c r="I705">
        <v>125</v>
      </c>
      <c r="J705">
        <v>80</v>
      </c>
      <c r="K705">
        <v>111</v>
      </c>
      <c r="L705">
        <v>5</v>
      </c>
      <c r="M705" t="b">
        <v>1</v>
      </c>
      <c r="N705" t="b">
        <f t="shared" si="10"/>
        <v>0</v>
      </c>
    </row>
    <row r="706" spans="1:14" x14ac:dyDescent="0.25">
      <c r="A706">
        <v>642</v>
      </c>
      <c r="B706" s="1" t="s">
        <v>736</v>
      </c>
      <c r="C706" s="1" t="s">
        <v>53</v>
      </c>
      <c r="D706" s="1" t="s">
        <v>24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  <c r="N706" t="b">
        <f t="shared" ref="N706:N769" si="11">COUNTIF(B706,"*Mega*")&gt;0</f>
        <v>0</v>
      </c>
    </row>
    <row r="707" spans="1:14" x14ac:dyDescent="0.25">
      <c r="A707">
        <v>642</v>
      </c>
      <c r="B707" s="1" t="s">
        <v>737</v>
      </c>
      <c r="C707" s="1" t="s">
        <v>53</v>
      </c>
      <c r="D707" s="1" t="s">
        <v>24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  <c r="N707" t="b">
        <f t="shared" si="11"/>
        <v>0</v>
      </c>
    </row>
    <row r="708" spans="1:14" x14ac:dyDescent="0.25">
      <c r="A708">
        <v>643</v>
      </c>
      <c r="B708" s="1" t="s">
        <v>738</v>
      </c>
      <c r="C708" s="1" t="s">
        <v>26</v>
      </c>
      <c r="D708" s="1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  <c r="N708" t="b">
        <f t="shared" si="11"/>
        <v>0</v>
      </c>
    </row>
    <row r="709" spans="1:14" x14ac:dyDescent="0.25">
      <c r="A709">
        <v>644</v>
      </c>
      <c r="B709" s="1" t="s">
        <v>739</v>
      </c>
      <c r="C709" s="1" t="s">
        <v>26</v>
      </c>
      <c r="D709" s="1" t="s">
        <v>53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  <c r="N709" t="b">
        <f t="shared" si="11"/>
        <v>0</v>
      </c>
    </row>
    <row r="710" spans="1:14" x14ac:dyDescent="0.25">
      <c r="A710">
        <v>645</v>
      </c>
      <c r="B710" s="1" t="s">
        <v>740</v>
      </c>
      <c r="C710" s="1" t="s">
        <v>56</v>
      </c>
      <c r="D710" s="1" t="s">
        <v>24</v>
      </c>
      <c r="E710">
        <v>600</v>
      </c>
      <c r="F710">
        <v>89</v>
      </c>
      <c r="G710">
        <v>145</v>
      </c>
      <c r="H710">
        <v>90</v>
      </c>
      <c r="I710">
        <v>105</v>
      </c>
      <c r="J710">
        <v>80</v>
      </c>
      <c r="K710">
        <v>91</v>
      </c>
      <c r="L710">
        <v>5</v>
      </c>
      <c r="M710" t="b">
        <v>1</v>
      </c>
      <c r="N710" t="b">
        <f t="shared" si="11"/>
        <v>0</v>
      </c>
    </row>
    <row r="711" spans="1:14" x14ac:dyDescent="0.25">
      <c r="A711">
        <v>645</v>
      </c>
      <c r="B711" s="1" t="s">
        <v>741</v>
      </c>
      <c r="C711" s="1" t="s">
        <v>56</v>
      </c>
      <c r="D711" s="1" t="s">
        <v>24</v>
      </c>
      <c r="E711">
        <v>600</v>
      </c>
      <c r="F711">
        <v>89</v>
      </c>
      <c r="G711">
        <v>125</v>
      </c>
      <c r="H711">
        <v>90</v>
      </c>
      <c r="I711">
        <v>115</v>
      </c>
      <c r="J711">
        <v>80</v>
      </c>
      <c r="K711">
        <v>101</v>
      </c>
      <c r="L711">
        <v>5</v>
      </c>
      <c r="M711" t="b">
        <v>1</v>
      </c>
      <c r="N711" t="b">
        <f t="shared" si="11"/>
        <v>0</v>
      </c>
    </row>
    <row r="712" spans="1:14" x14ac:dyDescent="0.25">
      <c r="A712">
        <v>646</v>
      </c>
      <c r="B712" s="1" t="s">
        <v>742</v>
      </c>
      <c r="C712" s="1" t="s">
        <v>26</v>
      </c>
      <c r="D712" s="1" t="s">
        <v>124</v>
      </c>
      <c r="E712">
        <v>700</v>
      </c>
      <c r="F712">
        <v>125</v>
      </c>
      <c r="G712">
        <v>120</v>
      </c>
      <c r="H712">
        <v>90</v>
      </c>
      <c r="I712">
        <v>170</v>
      </c>
      <c r="J712">
        <v>100</v>
      </c>
      <c r="K712">
        <v>95</v>
      </c>
      <c r="L712">
        <v>5</v>
      </c>
      <c r="M712" t="b">
        <v>1</v>
      </c>
      <c r="N712" t="b">
        <f t="shared" si="11"/>
        <v>0</v>
      </c>
    </row>
    <row r="713" spans="1:14" x14ac:dyDescent="0.25">
      <c r="A713">
        <v>646</v>
      </c>
      <c r="B713" s="1" t="s">
        <v>743</v>
      </c>
      <c r="C713" s="1" t="s">
        <v>26</v>
      </c>
      <c r="D713" s="1" t="s">
        <v>124</v>
      </c>
      <c r="E713">
        <v>660</v>
      </c>
      <c r="F713">
        <v>125</v>
      </c>
      <c r="G713">
        <v>130</v>
      </c>
      <c r="H713">
        <v>90</v>
      </c>
      <c r="I713">
        <v>130</v>
      </c>
      <c r="J713">
        <v>90</v>
      </c>
      <c r="K713">
        <v>95</v>
      </c>
      <c r="L713">
        <v>5</v>
      </c>
      <c r="M713" t="b">
        <v>1</v>
      </c>
      <c r="N713" t="b">
        <f t="shared" si="11"/>
        <v>0</v>
      </c>
    </row>
    <row r="714" spans="1:14" x14ac:dyDescent="0.25">
      <c r="A714">
        <v>646</v>
      </c>
      <c r="B714" s="1" t="s">
        <v>744</v>
      </c>
      <c r="C714" s="1" t="s">
        <v>26</v>
      </c>
      <c r="D714" s="1" t="s">
        <v>124</v>
      </c>
      <c r="E714">
        <v>700</v>
      </c>
      <c r="F714">
        <v>125</v>
      </c>
      <c r="G714">
        <v>170</v>
      </c>
      <c r="H714">
        <v>100</v>
      </c>
      <c r="I714">
        <v>120</v>
      </c>
      <c r="J714">
        <v>90</v>
      </c>
      <c r="K714">
        <v>95</v>
      </c>
      <c r="L714">
        <v>5</v>
      </c>
      <c r="M714" t="b">
        <v>1</v>
      </c>
      <c r="N714" t="b">
        <f t="shared" si="11"/>
        <v>0</v>
      </c>
    </row>
    <row r="715" spans="1:14" x14ac:dyDescent="0.25">
      <c r="A715">
        <v>647</v>
      </c>
      <c r="B715" s="1" t="s">
        <v>745</v>
      </c>
      <c r="C715" s="1" t="s">
        <v>29</v>
      </c>
      <c r="D715" s="1" t="s">
        <v>87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  <c r="N715" t="b">
        <f t="shared" si="11"/>
        <v>0</v>
      </c>
    </row>
    <row r="716" spans="1:14" x14ac:dyDescent="0.25">
      <c r="A716">
        <v>647</v>
      </c>
      <c r="B716" s="1" t="s">
        <v>746</v>
      </c>
      <c r="C716" s="1" t="s">
        <v>29</v>
      </c>
      <c r="D716" s="1" t="s">
        <v>87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  <c r="N716" t="b">
        <f t="shared" si="11"/>
        <v>0</v>
      </c>
    </row>
    <row r="717" spans="1:14" x14ac:dyDescent="0.25">
      <c r="A717">
        <v>648</v>
      </c>
      <c r="B717" s="1" t="s">
        <v>747</v>
      </c>
      <c r="C717" s="1" t="s">
        <v>42</v>
      </c>
      <c r="D717" s="1" t="s">
        <v>87</v>
      </c>
      <c r="E717">
        <v>600</v>
      </c>
      <c r="F717">
        <v>100</v>
      </c>
      <c r="G717">
        <v>128</v>
      </c>
      <c r="H717">
        <v>90</v>
      </c>
      <c r="I717">
        <v>77</v>
      </c>
      <c r="J717">
        <v>77</v>
      </c>
      <c r="K717">
        <v>128</v>
      </c>
      <c r="L717">
        <v>5</v>
      </c>
      <c r="M717" t="b">
        <v>0</v>
      </c>
      <c r="N717" t="b">
        <f t="shared" si="11"/>
        <v>0</v>
      </c>
    </row>
    <row r="718" spans="1:14" x14ac:dyDescent="0.25">
      <c r="A718">
        <v>648</v>
      </c>
      <c r="B718" s="1" t="s">
        <v>748</v>
      </c>
      <c r="C718" s="1" t="s">
        <v>42</v>
      </c>
      <c r="D718" s="1" t="s">
        <v>95</v>
      </c>
      <c r="E718">
        <v>600</v>
      </c>
      <c r="F718">
        <v>100</v>
      </c>
      <c r="G718">
        <v>77</v>
      </c>
      <c r="H718">
        <v>77</v>
      </c>
      <c r="I718">
        <v>128</v>
      </c>
      <c r="J718">
        <v>128</v>
      </c>
      <c r="K718">
        <v>90</v>
      </c>
      <c r="L718">
        <v>5</v>
      </c>
      <c r="M718" t="b">
        <v>0</v>
      </c>
      <c r="N718" t="b">
        <f t="shared" si="11"/>
        <v>0</v>
      </c>
    </row>
    <row r="719" spans="1:14" x14ac:dyDescent="0.25">
      <c r="A719">
        <v>649</v>
      </c>
      <c r="B719" s="1" t="s">
        <v>749</v>
      </c>
      <c r="C719" s="1" t="s">
        <v>34</v>
      </c>
      <c r="D719" s="1" t="s">
        <v>117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  <c r="N719" t="b">
        <f t="shared" si="11"/>
        <v>0</v>
      </c>
    </row>
    <row r="720" spans="1:14" x14ac:dyDescent="0.25">
      <c r="A720">
        <v>650</v>
      </c>
      <c r="B720" s="1" t="s">
        <v>750</v>
      </c>
      <c r="C720" s="1" t="s">
        <v>14</v>
      </c>
      <c r="D720" s="1" t="s">
        <v>21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  <c r="N720" t="b">
        <f t="shared" si="11"/>
        <v>0</v>
      </c>
    </row>
    <row r="721" spans="1:14" x14ac:dyDescent="0.25">
      <c r="A721">
        <v>651</v>
      </c>
      <c r="B721" s="1" t="s">
        <v>751</v>
      </c>
      <c r="C721" s="1" t="s">
        <v>14</v>
      </c>
      <c r="D721" s="1" t="s">
        <v>21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  <c r="N721" t="b">
        <f t="shared" si="11"/>
        <v>0</v>
      </c>
    </row>
    <row r="722" spans="1:14" x14ac:dyDescent="0.25">
      <c r="A722">
        <v>652</v>
      </c>
      <c r="B722" s="1" t="s">
        <v>752</v>
      </c>
      <c r="C722" s="1" t="s">
        <v>14</v>
      </c>
      <c r="D722" s="1" t="s">
        <v>87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  <c r="N722" t="b">
        <f t="shared" si="11"/>
        <v>0</v>
      </c>
    </row>
    <row r="723" spans="1:14" x14ac:dyDescent="0.25">
      <c r="A723">
        <v>653</v>
      </c>
      <c r="B723" s="1" t="s">
        <v>753</v>
      </c>
      <c r="C723" s="1" t="s">
        <v>20</v>
      </c>
      <c r="D723" s="1" t="s">
        <v>21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  <c r="N723" t="b">
        <f t="shared" si="11"/>
        <v>0</v>
      </c>
    </row>
    <row r="724" spans="1:14" x14ac:dyDescent="0.25">
      <c r="A724">
        <v>654</v>
      </c>
      <c r="B724" s="1" t="s">
        <v>754</v>
      </c>
      <c r="C724" s="1" t="s">
        <v>20</v>
      </c>
      <c r="D724" s="1" t="s">
        <v>21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  <c r="N724" t="b">
        <f t="shared" si="11"/>
        <v>0</v>
      </c>
    </row>
    <row r="725" spans="1:14" x14ac:dyDescent="0.25">
      <c r="A725">
        <v>655</v>
      </c>
      <c r="B725" s="1" t="s">
        <v>755</v>
      </c>
      <c r="C725" s="1" t="s">
        <v>20</v>
      </c>
      <c r="D725" s="1" t="s">
        <v>95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  <c r="N725" t="b">
        <f t="shared" si="11"/>
        <v>0</v>
      </c>
    </row>
    <row r="726" spans="1:14" x14ac:dyDescent="0.25">
      <c r="A726">
        <v>656</v>
      </c>
      <c r="B726" s="1" t="s">
        <v>756</v>
      </c>
      <c r="C726" s="1" t="s">
        <v>29</v>
      </c>
      <c r="D726" s="1" t="s">
        <v>21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  <c r="N726" t="b">
        <f t="shared" si="11"/>
        <v>0</v>
      </c>
    </row>
    <row r="727" spans="1:14" x14ac:dyDescent="0.25">
      <c r="A727">
        <v>657</v>
      </c>
      <c r="B727" s="1" t="s">
        <v>757</v>
      </c>
      <c r="C727" s="1" t="s">
        <v>29</v>
      </c>
      <c r="D727" s="1" t="s">
        <v>21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  <c r="N727" t="b">
        <f t="shared" si="11"/>
        <v>0</v>
      </c>
    </row>
    <row r="728" spans="1:14" x14ac:dyDescent="0.25">
      <c r="A728">
        <v>658</v>
      </c>
      <c r="B728" s="1" t="s">
        <v>758</v>
      </c>
      <c r="C728" s="1" t="s">
        <v>29</v>
      </c>
      <c r="D728" s="1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  <c r="N728" t="b">
        <f t="shared" si="11"/>
        <v>0</v>
      </c>
    </row>
    <row r="729" spans="1:14" x14ac:dyDescent="0.25">
      <c r="A729">
        <v>659</v>
      </c>
      <c r="B729" s="1" t="s">
        <v>759</v>
      </c>
      <c r="C729" s="1" t="s">
        <v>42</v>
      </c>
      <c r="D729" s="1" t="s">
        <v>21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  <c r="N729" t="b">
        <f t="shared" si="11"/>
        <v>0</v>
      </c>
    </row>
    <row r="730" spans="1:14" x14ac:dyDescent="0.25">
      <c r="A730">
        <v>660</v>
      </c>
      <c r="B730" s="1" t="s">
        <v>760</v>
      </c>
      <c r="C730" s="1" t="s">
        <v>42</v>
      </c>
      <c r="D730" s="1" t="s">
        <v>56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  <c r="N730" t="b">
        <f t="shared" si="11"/>
        <v>0</v>
      </c>
    </row>
    <row r="731" spans="1:14" x14ac:dyDescent="0.25">
      <c r="A731">
        <v>661</v>
      </c>
      <c r="B731" s="1" t="s">
        <v>761</v>
      </c>
      <c r="C731" s="1" t="s">
        <v>42</v>
      </c>
      <c r="D731" s="1" t="s">
        <v>24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  <c r="N731" t="b">
        <f t="shared" si="11"/>
        <v>0</v>
      </c>
    </row>
    <row r="732" spans="1:14" x14ac:dyDescent="0.25">
      <c r="A732">
        <v>662</v>
      </c>
      <c r="B732" s="1" t="s">
        <v>762</v>
      </c>
      <c r="C732" s="1" t="s">
        <v>20</v>
      </c>
      <c r="D732" s="1" t="s">
        <v>24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  <c r="N732" t="b">
        <f t="shared" si="11"/>
        <v>0</v>
      </c>
    </row>
    <row r="733" spans="1:14" x14ac:dyDescent="0.25">
      <c r="A733">
        <v>663</v>
      </c>
      <c r="B733" s="1" t="s">
        <v>763</v>
      </c>
      <c r="C733" s="1" t="s">
        <v>20</v>
      </c>
      <c r="D733" s="1" t="s">
        <v>24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  <c r="N733" t="b">
        <f t="shared" si="11"/>
        <v>0</v>
      </c>
    </row>
    <row r="734" spans="1:14" x14ac:dyDescent="0.25">
      <c r="A734">
        <v>664</v>
      </c>
      <c r="B734" s="1" t="s">
        <v>764</v>
      </c>
      <c r="C734" s="1" t="s">
        <v>34</v>
      </c>
      <c r="D734" s="1" t="s">
        <v>21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  <c r="N734" t="b">
        <f t="shared" si="11"/>
        <v>0</v>
      </c>
    </row>
    <row r="735" spans="1:14" x14ac:dyDescent="0.25">
      <c r="A735">
        <v>665</v>
      </c>
      <c r="B735" s="1" t="s">
        <v>765</v>
      </c>
      <c r="C735" s="1" t="s">
        <v>34</v>
      </c>
      <c r="D735" s="1" t="s">
        <v>21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  <c r="N735" t="b">
        <f t="shared" si="11"/>
        <v>0</v>
      </c>
    </row>
    <row r="736" spans="1:14" x14ac:dyDescent="0.25">
      <c r="A736">
        <v>666</v>
      </c>
      <c r="B736" s="1" t="s">
        <v>766</v>
      </c>
      <c r="C736" s="1" t="s">
        <v>34</v>
      </c>
      <c r="D736" s="1" t="s">
        <v>24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  <c r="N736" t="b">
        <f t="shared" si="11"/>
        <v>0</v>
      </c>
    </row>
    <row r="737" spans="1:14" x14ac:dyDescent="0.25">
      <c r="A737">
        <v>667</v>
      </c>
      <c r="B737" s="1" t="s">
        <v>767</v>
      </c>
      <c r="C737" s="1" t="s">
        <v>20</v>
      </c>
      <c r="D737" s="1" t="s">
        <v>42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  <c r="N737" t="b">
        <f t="shared" si="11"/>
        <v>0</v>
      </c>
    </row>
    <row r="738" spans="1:14" x14ac:dyDescent="0.25">
      <c r="A738">
        <v>668</v>
      </c>
      <c r="B738" s="1" t="s">
        <v>768</v>
      </c>
      <c r="C738" s="1" t="s">
        <v>20</v>
      </c>
      <c r="D738" s="1" t="s">
        <v>42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  <c r="N738" t="b">
        <f t="shared" si="11"/>
        <v>0</v>
      </c>
    </row>
    <row r="739" spans="1:14" x14ac:dyDescent="0.25">
      <c r="A739">
        <v>669</v>
      </c>
      <c r="B739" s="1" t="s">
        <v>769</v>
      </c>
      <c r="C739" s="1" t="s">
        <v>65</v>
      </c>
      <c r="D739" s="1" t="s">
        <v>21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  <c r="N739" t="b">
        <f t="shared" si="11"/>
        <v>0</v>
      </c>
    </row>
    <row r="740" spans="1:14" x14ac:dyDescent="0.25">
      <c r="A740">
        <v>670</v>
      </c>
      <c r="B740" s="1" t="s">
        <v>770</v>
      </c>
      <c r="C740" s="1" t="s">
        <v>65</v>
      </c>
      <c r="D740" s="1" t="s">
        <v>21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  <c r="N740" t="b">
        <f t="shared" si="11"/>
        <v>0</v>
      </c>
    </row>
    <row r="741" spans="1:14" x14ac:dyDescent="0.25">
      <c r="A741">
        <v>671</v>
      </c>
      <c r="B741" s="1" t="s">
        <v>771</v>
      </c>
      <c r="C741" s="1" t="s">
        <v>65</v>
      </c>
      <c r="D741" s="1" t="s">
        <v>21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  <c r="N741" t="b">
        <f t="shared" si="11"/>
        <v>0</v>
      </c>
    </row>
    <row r="742" spans="1:14" x14ac:dyDescent="0.25">
      <c r="A742">
        <v>672</v>
      </c>
      <c r="B742" s="1" t="s">
        <v>772</v>
      </c>
      <c r="C742" s="1" t="s">
        <v>14</v>
      </c>
      <c r="D742" s="1" t="s">
        <v>21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  <c r="N742" t="b">
        <f t="shared" si="11"/>
        <v>0</v>
      </c>
    </row>
    <row r="743" spans="1:14" x14ac:dyDescent="0.25">
      <c r="A743">
        <v>673</v>
      </c>
      <c r="B743" s="1" t="s">
        <v>773</v>
      </c>
      <c r="C743" s="1" t="s">
        <v>14</v>
      </c>
      <c r="D743" s="1" t="s">
        <v>21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  <c r="N743" t="b">
        <f t="shared" si="11"/>
        <v>0</v>
      </c>
    </row>
    <row r="744" spans="1:14" x14ac:dyDescent="0.25">
      <c r="A744">
        <v>674</v>
      </c>
      <c r="B744" s="1" t="s">
        <v>774</v>
      </c>
      <c r="C744" s="1" t="s">
        <v>87</v>
      </c>
      <c r="D744" s="1" t="s">
        <v>21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  <c r="N744" t="b">
        <f t="shared" si="11"/>
        <v>0</v>
      </c>
    </row>
    <row r="745" spans="1:14" x14ac:dyDescent="0.25">
      <c r="A745">
        <v>675</v>
      </c>
      <c r="B745" s="1" t="s">
        <v>775</v>
      </c>
      <c r="C745" s="1" t="s">
        <v>87</v>
      </c>
      <c r="D745" s="1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  <c r="N745" t="b">
        <f t="shared" si="11"/>
        <v>0</v>
      </c>
    </row>
    <row r="746" spans="1:14" x14ac:dyDescent="0.25">
      <c r="A746">
        <v>676</v>
      </c>
      <c r="B746" s="1" t="s">
        <v>776</v>
      </c>
      <c r="C746" s="1" t="s">
        <v>42</v>
      </c>
      <c r="D746" s="1" t="s">
        <v>21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  <c r="N746" t="b">
        <f t="shared" si="11"/>
        <v>0</v>
      </c>
    </row>
    <row r="747" spans="1:14" x14ac:dyDescent="0.25">
      <c r="A747">
        <v>677</v>
      </c>
      <c r="B747" s="1" t="s">
        <v>777</v>
      </c>
      <c r="C747" s="1" t="s">
        <v>95</v>
      </c>
      <c r="D747" s="1" t="s">
        <v>21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  <c r="N747" t="b">
        <f t="shared" si="11"/>
        <v>0</v>
      </c>
    </row>
    <row r="748" spans="1:14" x14ac:dyDescent="0.25">
      <c r="A748">
        <v>678</v>
      </c>
      <c r="B748" s="1" t="s">
        <v>778</v>
      </c>
      <c r="C748" s="1" t="s">
        <v>95</v>
      </c>
      <c r="D748" s="1" t="s">
        <v>21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  <c r="N748" t="b">
        <f t="shared" si="11"/>
        <v>0</v>
      </c>
    </row>
    <row r="749" spans="1:14" x14ac:dyDescent="0.25">
      <c r="A749">
        <v>678</v>
      </c>
      <c r="B749" s="1" t="s">
        <v>779</v>
      </c>
      <c r="C749" s="1" t="s">
        <v>95</v>
      </c>
      <c r="D749" s="1" t="s">
        <v>21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  <c r="N749" t="b">
        <f t="shared" si="11"/>
        <v>0</v>
      </c>
    </row>
    <row r="750" spans="1:14" x14ac:dyDescent="0.25">
      <c r="A750">
        <v>679</v>
      </c>
      <c r="B750" s="1" t="s">
        <v>780</v>
      </c>
      <c r="C750" s="1" t="s">
        <v>117</v>
      </c>
      <c r="D750" s="1" t="s">
        <v>130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  <c r="N750" t="b">
        <f t="shared" si="11"/>
        <v>0</v>
      </c>
    </row>
    <row r="751" spans="1:14" x14ac:dyDescent="0.25">
      <c r="A751">
        <v>680</v>
      </c>
      <c r="B751" s="1" t="s">
        <v>781</v>
      </c>
      <c r="C751" s="1" t="s">
        <v>117</v>
      </c>
      <c r="D751" s="1" t="s">
        <v>130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  <c r="N751" t="b">
        <f t="shared" si="11"/>
        <v>0</v>
      </c>
    </row>
    <row r="752" spans="1:14" x14ac:dyDescent="0.25">
      <c r="A752">
        <v>681</v>
      </c>
      <c r="B752" s="1" t="s">
        <v>782</v>
      </c>
      <c r="C752" s="1" t="s">
        <v>117</v>
      </c>
      <c r="D752" s="1" t="s">
        <v>130</v>
      </c>
      <c r="E752">
        <v>520</v>
      </c>
      <c r="F752">
        <v>60</v>
      </c>
      <c r="G752">
        <v>50</v>
      </c>
      <c r="H752">
        <v>150</v>
      </c>
      <c r="I752">
        <v>50</v>
      </c>
      <c r="J752">
        <v>150</v>
      </c>
      <c r="K752">
        <v>60</v>
      </c>
      <c r="L752">
        <v>6</v>
      </c>
      <c r="M752" t="b">
        <v>0</v>
      </c>
      <c r="N752" t="b">
        <f t="shared" si="11"/>
        <v>0</v>
      </c>
    </row>
    <row r="753" spans="1:14" x14ac:dyDescent="0.25">
      <c r="A753">
        <v>681</v>
      </c>
      <c r="B753" s="1" t="s">
        <v>783</v>
      </c>
      <c r="C753" s="1" t="s">
        <v>117</v>
      </c>
      <c r="D753" s="1" t="s">
        <v>130</v>
      </c>
      <c r="E753">
        <v>520</v>
      </c>
      <c r="F753">
        <v>60</v>
      </c>
      <c r="G753">
        <v>150</v>
      </c>
      <c r="H753">
        <v>50</v>
      </c>
      <c r="I753">
        <v>150</v>
      </c>
      <c r="J753">
        <v>50</v>
      </c>
      <c r="K753">
        <v>60</v>
      </c>
      <c r="L753">
        <v>6</v>
      </c>
      <c r="M753" t="b">
        <v>0</v>
      </c>
      <c r="N753" t="b">
        <f t="shared" si="11"/>
        <v>0</v>
      </c>
    </row>
    <row r="754" spans="1:14" x14ac:dyDescent="0.25">
      <c r="A754">
        <v>682</v>
      </c>
      <c r="B754" s="1" t="s">
        <v>784</v>
      </c>
      <c r="C754" s="1" t="s">
        <v>65</v>
      </c>
      <c r="D754" s="1" t="s">
        <v>21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  <c r="N754" t="b">
        <f t="shared" si="11"/>
        <v>0</v>
      </c>
    </row>
    <row r="755" spans="1:14" x14ac:dyDescent="0.25">
      <c r="A755">
        <v>683</v>
      </c>
      <c r="B755" s="1" t="s">
        <v>785</v>
      </c>
      <c r="C755" s="1" t="s">
        <v>65</v>
      </c>
      <c r="D755" s="1" t="s">
        <v>21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  <c r="N755" t="b">
        <f t="shared" si="11"/>
        <v>0</v>
      </c>
    </row>
    <row r="756" spans="1:14" x14ac:dyDescent="0.25">
      <c r="A756">
        <v>684</v>
      </c>
      <c r="B756" s="1" t="s">
        <v>786</v>
      </c>
      <c r="C756" s="1" t="s">
        <v>65</v>
      </c>
      <c r="D756" s="1" t="s">
        <v>21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  <c r="N756" t="b">
        <f t="shared" si="11"/>
        <v>0</v>
      </c>
    </row>
    <row r="757" spans="1:14" x14ac:dyDescent="0.25">
      <c r="A757">
        <v>685</v>
      </c>
      <c r="B757" s="1" t="s">
        <v>787</v>
      </c>
      <c r="C757" s="1" t="s">
        <v>65</v>
      </c>
      <c r="D757" s="1" t="s">
        <v>21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  <c r="N757" t="b">
        <f t="shared" si="11"/>
        <v>0</v>
      </c>
    </row>
    <row r="758" spans="1:14" x14ac:dyDescent="0.25">
      <c r="A758">
        <v>686</v>
      </c>
      <c r="B758" s="1" t="s">
        <v>788</v>
      </c>
      <c r="C758" s="1" t="s">
        <v>172</v>
      </c>
      <c r="D758" s="1" t="s">
        <v>95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  <c r="N758" t="b">
        <f t="shared" si="11"/>
        <v>0</v>
      </c>
    </row>
    <row r="759" spans="1:14" x14ac:dyDescent="0.25">
      <c r="A759">
        <v>687</v>
      </c>
      <c r="B759" s="1" t="s">
        <v>789</v>
      </c>
      <c r="C759" s="1" t="s">
        <v>172</v>
      </c>
      <c r="D759" s="1" t="s">
        <v>95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  <c r="N759" t="b">
        <f t="shared" si="11"/>
        <v>0</v>
      </c>
    </row>
    <row r="760" spans="1:14" x14ac:dyDescent="0.25">
      <c r="A760">
        <v>688</v>
      </c>
      <c r="B760" s="1" t="s">
        <v>790</v>
      </c>
      <c r="C760" s="1" t="s">
        <v>108</v>
      </c>
      <c r="D760" s="1" t="s">
        <v>29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  <c r="N760" t="b">
        <f t="shared" si="11"/>
        <v>0</v>
      </c>
    </row>
    <row r="761" spans="1:14" x14ac:dyDescent="0.25">
      <c r="A761">
        <v>689</v>
      </c>
      <c r="B761" s="1" t="s">
        <v>791</v>
      </c>
      <c r="C761" s="1" t="s">
        <v>108</v>
      </c>
      <c r="D761" s="1" t="s">
        <v>29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  <c r="N761" t="b">
        <f t="shared" si="11"/>
        <v>0</v>
      </c>
    </row>
    <row r="762" spans="1:14" x14ac:dyDescent="0.25">
      <c r="A762">
        <v>690</v>
      </c>
      <c r="B762" s="1" t="s">
        <v>792</v>
      </c>
      <c r="C762" s="1" t="s">
        <v>15</v>
      </c>
      <c r="D762" s="1" t="s">
        <v>29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  <c r="N762" t="b">
        <f t="shared" si="11"/>
        <v>0</v>
      </c>
    </row>
    <row r="763" spans="1:14" x14ac:dyDescent="0.25">
      <c r="A763">
        <v>691</v>
      </c>
      <c r="B763" s="1" t="s">
        <v>793</v>
      </c>
      <c r="C763" s="1" t="s">
        <v>15</v>
      </c>
      <c r="D763" s="1" t="s">
        <v>26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  <c r="N763" t="b">
        <f t="shared" si="11"/>
        <v>0</v>
      </c>
    </row>
    <row r="764" spans="1:14" x14ac:dyDescent="0.25">
      <c r="A764">
        <v>692</v>
      </c>
      <c r="B764" s="1" t="s">
        <v>794</v>
      </c>
      <c r="C764" s="1" t="s">
        <v>29</v>
      </c>
      <c r="D764" s="1" t="s">
        <v>21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  <c r="N764" t="b">
        <f t="shared" si="11"/>
        <v>0</v>
      </c>
    </row>
    <row r="765" spans="1:14" x14ac:dyDescent="0.25">
      <c r="A765">
        <v>693</v>
      </c>
      <c r="B765" s="1" t="s">
        <v>795</v>
      </c>
      <c r="C765" s="1" t="s">
        <v>29</v>
      </c>
      <c r="D765" s="1" t="s">
        <v>21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  <c r="N765" t="b">
        <f t="shared" si="11"/>
        <v>0</v>
      </c>
    </row>
    <row r="766" spans="1:14" x14ac:dyDescent="0.25">
      <c r="A766">
        <v>694</v>
      </c>
      <c r="B766" s="1" t="s">
        <v>796</v>
      </c>
      <c r="C766" s="1" t="s">
        <v>53</v>
      </c>
      <c r="D766" s="1" t="s">
        <v>42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  <c r="N766" t="b">
        <f t="shared" si="11"/>
        <v>0</v>
      </c>
    </row>
    <row r="767" spans="1:14" x14ac:dyDescent="0.25">
      <c r="A767">
        <v>695</v>
      </c>
      <c r="B767" s="1" t="s">
        <v>797</v>
      </c>
      <c r="C767" s="1" t="s">
        <v>53</v>
      </c>
      <c r="D767" s="1" t="s">
        <v>42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  <c r="N767" t="b">
        <f t="shared" si="11"/>
        <v>0</v>
      </c>
    </row>
    <row r="768" spans="1:14" x14ac:dyDescent="0.25">
      <c r="A768">
        <v>696</v>
      </c>
      <c r="B768" s="1" t="s">
        <v>798</v>
      </c>
      <c r="C768" s="1" t="s">
        <v>108</v>
      </c>
      <c r="D768" s="1" t="s">
        <v>26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  <c r="N768" t="b">
        <f t="shared" si="11"/>
        <v>0</v>
      </c>
    </row>
    <row r="769" spans="1:14" x14ac:dyDescent="0.25">
      <c r="A769">
        <v>697</v>
      </c>
      <c r="B769" s="1" t="s">
        <v>799</v>
      </c>
      <c r="C769" s="1" t="s">
        <v>108</v>
      </c>
      <c r="D769" s="1" t="s">
        <v>26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  <c r="N769" t="b">
        <f t="shared" si="11"/>
        <v>0</v>
      </c>
    </row>
    <row r="770" spans="1:14" x14ac:dyDescent="0.25">
      <c r="A770">
        <v>698</v>
      </c>
      <c r="B770" s="1" t="s">
        <v>800</v>
      </c>
      <c r="C770" s="1" t="s">
        <v>108</v>
      </c>
      <c r="D770" s="1" t="s">
        <v>124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  <c r="N770" t="b">
        <f t="shared" ref="N770:N801" si="12">COUNTIF(B770,"*Mega*")&gt;0</f>
        <v>0</v>
      </c>
    </row>
    <row r="771" spans="1:14" x14ac:dyDescent="0.25">
      <c r="A771">
        <v>699</v>
      </c>
      <c r="B771" s="1" t="s">
        <v>801</v>
      </c>
      <c r="C771" s="1" t="s">
        <v>108</v>
      </c>
      <c r="D771" s="1" t="s">
        <v>124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  <c r="N771" t="b">
        <f t="shared" si="12"/>
        <v>0</v>
      </c>
    </row>
    <row r="772" spans="1:14" x14ac:dyDescent="0.25">
      <c r="A772">
        <v>700</v>
      </c>
      <c r="B772" s="1" t="s">
        <v>802</v>
      </c>
      <c r="C772" s="1" t="s">
        <v>65</v>
      </c>
      <c r="D772" s="1" t="s">
        <v>21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  <c r="N772" t="b">
        <f t="shared" si="12"/>
        <v>0</v>
      </c>
    </row>
    <row r="773" spans="1:14" x14ac:dyDescent="0.25">
      <c r="A773">
        <v>701</v>
      </c>
      <c r="B773" s="1" t="s">
        <v>803</v>
      </c>
      <c r="C773" s="1" t="s">
        <v>87</v>
      </c>
      <c r="D773" s="1" t="s">
        <v>24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  <c r="N773" t="b">
        <f t="shared" si="12"/>
        <v>0</v>
      </c>
    </row>
    <row r="774" spans="1:14" x14ac:dyDescent="0.25">
      <c r="A774">
        <v>702</v>
      </c>
      <c r="B774" s="1" t="s">
        <v>804</v>
      </c>
      <c r="C774" s="1" t="s">
        <v>53</v>
      </c>
      <c r="D774" s="1" t="s">
        <v>65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  <c r="N774" t="b">
        <f t="shared" si="12"/>
        <v>0</v>
      </c>
    </row>
    <row r="775" spans="1:14" x14ac:dyDescent="0.25">
      <c r="A775">
        <v>703</v>
      </c>
      <c r="B775" s="1" t="s">
        <v>805</v>
      </c>
      <c r="C775" s="1" t="s">
        <v>108</v>
      </c>
      <c r="D775" s="1" t="s">
        <v>65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  <c r="N775" t="b">
        <f t="shared" si="12"/>
        <v>0</v>
      </c>
    </row>
    <row r="776" spans="1:14" x14ac:dyDescent="0.25">
      <c r="A776">
        <v>704</v>
      </c>
      <c r="B776" s="1" t="s">
        <v>806</v>
      </c>
      <c r="C776" s="1" t="s">
        <v>26</v>
      </c>
      <c r="D776" s="1" t="s">
        <v>21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  <c r="N776" t="b">
        <f t="shared" si="12"/>
        <v>0</v>
      </c>
    </row>
    <row r="777" spans="1:14" x14ac:dyDescent="0.25">
      <c r="A777">
        <v>705</v>
      </c>
      <c r="B777" s="1" t="s">
        <v>807</v>
      </c>
      <c r="C777" s="1" t="s">
        <v>26</v>
      </c>
      <c r="D777" s="1" t="s">
        <v>21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  <c r="N777" t="b">
        <f t="shared" si="12"/>
        <v>0</v>
      </c>
    </row>
    <row r="778" spans="1:14" x14ac:dyDescent="0.25">
      <c r="A778">
        <v>706</v>
      </c>
      <c r="B778" s="1" t="s">
        <v>808</v>
      </c>
      <c r="C778" s="1" t="s">
        <v>26</v>
      </c>
      <c r="D778" s="1" t="s">
        <v>21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  <c r="N778" t="b">
        <f t="shared" si="12"/>
        <v>0</v>
      </c>
    </row>
    <row r="779" spans="1:14" x14ac:dyDescent="0.25">
      <c r="A779">
        <v>707</v>
      </c>
      <c r="B779" s="1" t="s">
        <v>809</v>
      </c>
      <c r="C779" s="1" t="s">
        <v>117</v>
      </c>
      <c r="D779" s="1" t="s">
        <v>65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  <c r="N779" t="b">
        <f t="shared" si="12"/>
        <v>0</v>
      </c>
    </row>
    <row r="780" spans="1:14" x14ac:dyDescent="0.25">
      <c r="A780">
        <v>708</v>
      </c>
      <c r="B780" s="1" t="s">
        <v>810</v>
      </c>
      <c r="C780" s="1" t="s">
        <v>130</v>
      </c>
      <c r="D780" s="1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  <c r="N780" t="b">
        <f t="shared" si="12"/>
        <v>0</v>
      </c>
    </row>
    <row r="781" spans="1:14" x14ac:dyDescent="0.25">
      <c r="A781">
        <v>709</v>
      </c>
      <c r="B781" s="1" t="s">
        <v>811</v>
      </c>
      <c r="C781" s="1" t="s">
        <v>130</v>
      </c>
      <c r="D781" s="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  <c r="N781" t="b">
        <f t="shared" si="12"/>
        <v>0</v>
      </c>
    </row>
    <row r="782" spans="1:14" x14ac:dyDescent="0.25">
      <c r="A782">
        <v>710</v>
      </c>
      <c r="B782" s="1" t="s">
        <v>812</v>
      </c>
      <c r="C782" s="1" t="s">
        <v>130</v>
      </c>
      <c r="D782" s="1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  <c r="N782" t="b">
        <f t="shared" si="12"/>
        <v>0</v>
      </c>
    </row>
    <row r="783" spans="1:14" x14ac:dyDescent="0.25">
      <c r="A783">
        <v>710</v>
      </c>
      <c r="B783" s="1" t="s">
        <v>813</v>
      </c>
      <c r="C783" s="1" t="s">
        <v>130</v>
      </c>
      <c r="D783" s="1" t="s">
        <v>14</v>
      </c>
      <c r="E783">
        <v>335</v>
      </c>
      <c r="F783">
        <v>54</v>
      </c>
      <c r="G783">
        <v>66</v>
      </c>
      <c r="H783">
        <v>70</v>
      </c>
      <c r="I783">
        <v>44</v>
      </c>
      <c r="J783">
        <v>55</v>
      </c>
      <c r="K783">
        <v>46</v>
      </c>
      <c r="L783">
        <v>6</v>
      </c>
      <c r="M783" t="b">
        <v>0</v>
      </c>
      <c r="N783" t="b">
        <f t="shared" si="12"/>
        <v>0</v>
      </c>
    </row>
    <row r="784" spans="1:14" x14ac:dyDescent="0.25">
      <c r="A784">
        <v>710</v>
      </c>
      <c r="B784" s="1" t="s">
        <v>814</v>
      </c>
      <c r="C784" s="1" t="s">
        <v>130</v>
      </c>
      <c r="D784" s="1" t="s">
        <v>14</v>
      </c>
      <c r="E784">
        <v>335</v>
      </c>
      <c r="F784">
        <v>59</v>
      </c>
      <c r="G784">
        <v>66</v>
      </c>
      <c r="H784">
        <v>70</v>
      </c>
      <c r="I784">
        <v>44</v>
      </c>
      <c r="J784">
        <v>55</v>
      </c>
      <c r="K784">
        <v>41</v>
      </c>
      <c r="L784">
        <v>6</v>
      </c>
      <c r="M784" t="b">
        <v>0</v>
      </c>
      <c r="N784" t="b">
        <f t="shared" si="12"/>
        <v>0</v>
      </c>
    </row>
    <row r="785" spans="1:14" x14ac:dyDescent="0.25">
      <c r="A785">
        <v>710</v>
      </c>
      <c r="B785" s="1" t="s">
        <v>815</v>
      </c>
      <c r="C785" s="1" t="s">
        <v>130</v>
      </c>
      <c r="D785" s="1" t="s">
        <v>14</v>
      </c>
      <c r="E785">
        <v>335</v>
      </c>
      <c r="F785">
        <v>44</v>
      </c>
      <c r="G785">
        <v>66</v>
      </c>
      <c r="H785">
        <v>70</v>
      </c>
      <c r="I785">
        <v>44</v>
      </c>
      <c r="J785">
        <v>55</v>
      </c>
      <c r="K785">
        <v>56</v>
      </c>
      <c r="L785">
        <v>6</v>
      </c>
      <c r="M785" t="b">
        <v>0</v>
      </c>
      <c r="N785" t="b">
        <f t="shared" si="12"/>
        <v>0</v>
      </c>
    </row>
    <row r="786" spans="1:14" x14ac:dyDescent="0.25">
      <c r="A786">
        <v>711</v>
      </c>
      <c r="B786" s="1" t="s">
        <v>816</v>
      </c>
      <c r="C786" s="1" t="s">
        <v>130</v>
      </c>
      <c r="D786" s="1" t="s">
        <v>14</v>
      </c>
      <c r="E786">
        <v>494</v>
      </c>
      <c r="F786">
        <v>55</v>
      </c>
      <c r="G786">
        <v>85</v>
      </c>
      <c r="H786">
        <v>122</v>
      </c>
      <c r="I786">
        <v>58</v>
      </c>
      <c r="J786">
        <v>75</v>
      </c>
      <c r="K786">
        <v>99</v>
      </c>
      <c r="L786">
        <v>6</v>
      </c>
      <c r="M786" t="b">
        <v>0</v>
      </c>
      <c r="N786" t="b">
        <f t="shared" si="12"/>
        <v>0</v>
      </c>
    </row>
    <row r="787" spans="1:14" x14ac:dyDescent="0.25">
      <c r="A787">
        <v>711</v>
      </c>
      <c r="B787" s="1" t="s">
        <v>817</v>
      </c>
      <c r="C787" s="1" t="s">
        <v>130</v>
      </c>
      <c r="D787" s="1" t="s">
        <v>14</v>
      </c>
      <c r="E787">
        <v>494</v>
      </c>
      <c r="F787">
        <v>85</v>
      </c>
      <c r="G787">
        <v>100</v>
      </c>
      <c r="H787">
        <v>122</v>
      </c>
      <c r="I787">
        <v>58</v>
      </c>
      <c r="J787">
        <v>75</v>
      </c>
      <c r="K787">
        <v>54</v>
      </c>
      <c r="L787">
        <v>6</v>
      </c>
      <c r="M787" t="b">
        <v>0</v>
      </c>
      <c r="N787" t="b">
        <f t="shared" si="12"/>
        <v>0</v>
      </c>
    </row>
    <row r="788" spans="1:14" x14ac:dyDescent="0.25">
      <c r="A788">
        <v>711</v>
      </c>
      <c r="B788" s="1" t="s">
        <v>818</v>
      </c>
      <c r="C788" s="1" t="s">
        <v>130</v>
      </c>
      <c r="D788" s="1" t="s">
        <v>14</v>
      </c>
      <c r="E788">
        <v>494</v>
      </c>
      <c r="F788">
        <v>65</v>
      </c>
      <c r="G788">
        <v>90</v>
      </c>
      <c r="H788">
        <v>122</v>
      </c>
      <c r="I788">
        <v>58</v>
      </c>
      <c r="J788">
        <v>75</v>
      </c>
      <c r="K788">
        <v>84</v>
      </c>
      <c r="L788">
        <v>6</v>
      </c>
      <c r="M788" t="b">
        <v>0</v>
      </c>
      <c r="N788" t="b">
        <f t="shared" si="12"/>
        <v>0</v>
      </c>
    </row>
    <row r="789" spans="1:14" x14ac:dyDescent="0.25">
      <c r="A789">
        <v>711</v>
      </c>
      <c r="B789" s="1" t="s">
        <v>819</v>
      </c>
      <c r="C789" s="1" t="s">
        <v>130</v>
      </c>
      <c r="D789" s="1" t="s">
        <v>14</v>
      </c>
      <c r="E789">
        <v>494</v>
      </c>
      <c r="F789">
        <v>75</v>
      </c>
      <c r="G789">
        <v>95</v>
      </c>
      <c r="H789">
        <v>122</v>
      </c>
      <c r="I789">
        <v>58</v>
      </c>
      <c r="J789">
        <v>75</v>
      </c>
      <c r="K789">
        <v>69</v>
      </c>
      <c r="L789">
        <v>6</v>
      </c>
      <c r="M789" t="b">
        <v>0</v>
      </c>
      <c r="N789" t="b">
        <f t="shared" si="12"/>
        <v>0</v>
      </c>
    </row>
    <row r="790" spans="1:14" x14ac:dyDescent="0.25">
      <c r="A790">
        <v>712</v>
      </c>
      <c r="B790" s="1" t="s">
        <v>820</v>
      </c>
      <c r="C790" s="1" t="s">
        <v>124</v>
      </c>
      <c r="D790" s="1" t="s">
        <v>21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  <c r="N790" t="b">
        <f t="shared" si="12"/>
        <v>0</v>
      </c>
    </row>
    <row r="791" spans="1:14" x14ac:dyDescent="0.25">
      <c r="A791">
        <v>713</v>
      </c>
      <c r="B791" s="1" t="s">
        <v>821</v>
      </c>
      <c r="C791" s="1" t="s">
        <v>124</v>
      </c>
      <c r="D791" s="1" t="s">
        <v>21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  <c r="N791" t="b">
        <f t="shared" si="12"/>
        <v>0</v>
      </c>
    </row>
    <row r="792" spans="1:14" x14ac:dyDescent="0.25">
      <c r="A792">
        <v>714</v>
      </c>
      <c r="B792" s="1" t="s">
        <v>822</v>
      </c>
      <c r="C792" s="1" t="s">
        <v>24</v>
      </c>
      <c r="D792" s="1" t="s">
        <v>26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  <c r="N792" t="b">
        <f t="shared" si="12"/>
        <v>0</v>
      </c>
    </row>
    <row r="793" spans="1:14" x14ac:dyDescent="0.25">
      <c r="A793">
        <v>715</v>
      </c>
      <c r="B793" s="1" t="s">
        <v>823</v>
      </c>
      <c r="C793" s="1" t="s">
        <v>24</v>
      </c>
      <c r="D793" s="1" t="s">
        <v>26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  <c r="N793" t="b">
        <f t="shared" si="12"/>
        <v>0</v>
      </c>
    </row>
    <row r="794" spans="1:14" x14ac:dyDescent="0.25">
      <c r="A794">
        <v>716</v>
      </c>
      <c r="B794" s="1" t="s">
        <v>824</v>
      </c>
      <c r="C794" s="1" t="s">
        <v>65</v>
      </c>
      <c r="D794" s="1" t="s">
        <v>21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  <c r="N794" t="b">
        <f t="shared" si="12"/>
        <v>0</v>
      </c>
    </row>
    <row r="795" spans="1:14" x14ac:dyDescent="0.25">
      <c r="A795">
        <v>717</v>
      </c>
      <c r="B795" s="1" t="s">
        <v>825</v>
      </c>
      <c r="C795" s="1" t="s">
        <v>172</v>
      </c>
      <c r="D795" s="1" t="s">
        <v>24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  <c r="N795" t="b">
        <f t="shared" si="12"/>
        <v>0</v>
      </c>
    </row>
    <row r="796" spans="1:14" x14ac:dyDescent="0.25">
      <c r="A796">
        <v>718</v>
      </c>
      <c r="B796" s="1" t="s">
        <v>826</v>
      </c>
      <c r="C796" s="1" t="s">
        <v>26</v>
      </c>
      <c r="D796" s="1" t="s">
        <v>56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  <c r="N796" t="b">
        <f t="shared" si="12"/>
        <v>0</v>
      </c>
    </row>
    <row r="797" spans="1:14" x14ac:dyDescent="0.25">
      <c r="A797">
        <v>719</v>
      </c>
      <c r="B797" s="1" t="s">
        <v>827</v>
      </c>
      <c r="C797" s="1" t="s">
        <v>108</v>
      </c>
      <c r="D797" s="1" t="s">
        <v>65</v>
      </c>
      <c r="E797">
        <v>700</v>
      </c>
      <c r="F797">
        <v>50</v>
      </c>
      <c r="G797">
        <v>160</v>
      </c>
      <c r="H797">
        <v>110</v>
      </c>
      <c r="I797">
        <v>160</v>
      </c>
      <c r="J797">
        <v>110</v>
      </c>
      <c r="K797">
        <v>110</v>
      </c>
      <c r="L797">
        <v>6</v>
      </c>
      <c r="M797" t="b">
        <v>1</v>
      </c>
      <c r="N797" t="b">
        <f t="shared" si="12"/>
        <v>1</v>
      </c>
    </row>
    <row r="798" spans="1:14" x14ac:dyDescent="0.25">
      <c r="A798">
        <v>719</v>
      </c>
      <c r="B798" s="1" t="s">
        <v>828</v>
      </c>
      <c r="C798" s="1" t="s">
        <v>108</v>
      </c>
      <c r="D798" s="1" t="s">
        <v>65</v>
      </c>
      <c r="E798">
        <v>600</v>
      </c>
      <c r="F798">
        <v>50</v>
      </c>
      <c r="G798">
        <v>100</v>
      </c>
      <c r="H798">
        <v>150</v>
      </c>
      <c r="I798">
        <v>100</v>
      </c>
      <c r="J798">
        <v>150</v>
      </c>
      <c r="K798">
        <v>50</v>
      </c>
      <c r="L798">
        <v>6</v>
      </c>
      <c r="M798" t="b">
        <v>1</v>
      </c>
      <c r="N798" t="b">
        <f t="shared" si="12"/>
        <v>0</v>
      </c>
    </row>
    <row r="799" spans="1:14" x14ac:dyDescent="0.25">
      <c r="A799">
        <v>720</v>
      </c>
      <c r="B799" s="1" t="s">
        <v>829</v>
      </c>
      <c r="C799" s="1" t="s">
        <v>95</v>
      </c>
      <c r="D799" s="1" t="s">
        <v>130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 t="b">
        <f t="shared" si="12"/>
        <v>0</v>
      </c>
    </row>
    <row r="800" spans="1:14" x14ac:dyDescent="0.25">
      <c r="A800">
        <v>720</v>
      </c>
      <c r="B800" s="1" t="s">
        <v>830</v>
      </c>
      <c r="C800" s="1" t="s">
        <v>95</v>
      </c>
      <c r="D800" s="1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 t="b">
        <f t="shared" si="12"/>
        <v>0</v>
      </c>
    </row>
    <row r="801" spans="1:14" x14ac:dyDescent="0.25">
      <c r="A801">
        <v>721</v>
      </c>
      <c r="B801" s="1" t="s">
        <v>831</v>
      </c>
      <c r="C801" s="1" t="s">
        <v>20</v>
      </c>
      <c r="D801" s="1" t="s">
        <v>29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 t="b">
        <f t="shared" si="12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D678-BD98-43F0-9252-F8A4948FF849}">
  <dimension ref="A1:L758"/>
  <sheetViews>
    <sheetView workbookViewId="0">
      <selection activeCell="B17" sqref="B17"/>
    </sheetView>
  </sheetViews>
  <sheetFormatPr defaultRowHeight="15" x14ac:dyDescent="0.25"/>
  <cols>
    <col min="1" max="1" width="25.5703125" bestFit="1" customWidth="1"/>
    <col min="2" max="2" width="11.85546875" bestFit="1" customWidth="1"/>
    <col min="3" max="3" width="9.85546875" bestFit="1" customWidth="1"/>
    <col min="4" max="4" width="12.85546875" bestFit="1" customWidth="1"/>
    <col min="5" max="5" width="14.5703125" bestFit="1" customWidth="1"/>
    <col min="6" max="6" width="13.42578125" bestFit="1" customWidth="1"/>
    <col min="7" max="7" width="13.5703125" bestFit="1" customWidth="1"/>
    <col min="8" max="8" width="12.7109375" bestFit="1" customWidth="1"/>
    <col min="9" max="9" width="5.7109375" bestFit="1" customWidth="1"/>
    <col min="10" max="10" width="14.42578125" bestFit="1" customWidth="1"/>
    <col min="11" max="11" width="12.85546875" customWidth="1"/>
    <col min="12" max="12" width="14.42578125" bestFit="1" customWidth="1"/>
    <col min="13" max="13" width="5.7109375" bestFit="1" customWidth="1"/>
    <col min="14" max="14" width="13.5703125" bestFit="1" customWidth="1"/>
    <col min="15" max="15" width="5.7109375" bestFit="1" customWidth="1"/>
    <col min="16" max="16" width="17.28515625" bestFit="1" customWidth="1"/>
    <col min="17" max="17" width="15.28515625" bestFit="1" customWidth="1"/>
    <col min="18" max="18" width="18.42578125" bestFit="1" customWidth="1"/>
    <col min="19" max="19" width="20.5703125" bestFit="1" customWidth="1"/>
    <col min="20" max="20" width="19" bestFit="1" customWidth="1"/>
    <col min="21" max="21" width="19.42578125" bestFit="1" customWidth="1"/>
    <col min="22" max="22" width="18.5703125" bestFit="1" customWidth="1"/>
    <col min="23" max="23" width="10" bestFit="1" customWidth="1"/>
    <col min="24" max="24" width="24.5703125" bestFit="1" customWidth="1"/>
    <col min="25" max="25" width="7.5703125" bestFit="1" customWidth="1"/>
    <col min="26" max="26" width="6.140625" bestFit="1" customWidth="1"/>
    <col min="27" max="27" width="8.85546875" bestFit="1" customWidth="1"/>
    <col min="28" max="28" width="7.140625" bestFit="1" customWidth="1"/>
    <col min="29" max="29" width="7.28515625" bestFit="1" customWidth="1"/>
    <col min="30" max="30" width="9.42578125" bestFit="1" customWidth="1"/>
    <col min="31" max="31" width="7.7109375" bestFit="1" customWidth="1"/>
    <col min="32" max="32" width="8.42578125" bestFit="1" customWidth="1"/>
    <col min="33" max="33" width="11.140625" bestFit="1" customWidth="1"/>
    <col min="34" max="34" width="5.140625" bestFit="1" customWidth="1"/>
    <col min="35" max="35" width="8.5703125" bestFit="1" customWidth="1"/>
    <col min="36" max="36" width="7.28515625" bestFit="1" customWidth="1"/>
    <col min="37" max="37" width="19" bestFit="1" customWidth="1"/>
    <col min="38" max="38" width="8" bestFit="1" customWidth="1"/>
    <col min="39" max="39" width="7.85546875" bestFit="1" customWidth="1"/>
    <col min="40" max="40" width="5.7109375" bestFit="1" customWidth="1"/>
    <col min="41" max="41" width="5.42578125" bestFit="1" customWidth="1"/>
    <col min="42" max="42" width="9.28515625" bestFit="1" customWidth="1"/>
    <col min="43" max="43" width="6.5703125" bestFit="1" customWidth="1"/>
    <col min="44" max="44" width="6.42578125" bestFit="1" customWidth="1"/>
    <col min="45" max="45" width="6.5703125" bestFit="1" customWidth="1"/>
    <col min="46" max="46" width="8" bestFit="1" customWidth="1"/>
    <col min="47" max="47" width="20.42578125" bestFit="1" customWidth="1"/>
    <col min="48" max="48" width="10.42578125" bestFit="1" customWidth="1"/>
    <col min="49" max="49" width="9.28515625" bestFit="1" customWidth="1"/>
    <col min="50" max="50" width="8.5703125" bestFit="1" customWidth="1"/>
    <col min="51" max="51" width="10" bestFit="1" customWidth="1"/>
    <col min="52" max="52" width="7.7109375" bestFit="1" customWidth="1"/>
    <col min="53" max="53" width="7.28515625" bestFit="1" customWidth="1"/>
    <col min="54" max="54" width="9" bestFit="1" customWidth="1"/>
    <col min="55" max="55" width="8" bestFit="1" customWidth="1"/>
    <col min="56" max="56" width="20.42578125" bestFit="1" customWidth="1"/>
    <col min="57" max="57" width="10.5703125" bestFit="1" customWidth="1"/>
    <col min="58" max="58" width="7.85546875" bestFit="1" customWidth="1"/>
    <col min="59" max="59" width="10.42578125" bestFit="1" customWidth="1"/>
    <col min="60" max="60" width="10.28515625" bestFit="1" customWidth="1"/>
    <col min="62" max="62" width="7.28515625" bestFit="1" customWidth="1"/>
    <col min="63" max="63" width="6.85546875" bestFit="1" customWidth="1"/>
    <col min="64" max="64" width="7.5703125" bestFit="1" customWidth="1"/>
    <col min="65" max="65" width="7.7109375" bestFit="1" customWidth="1"/>
    <col min="66" max="66" width="9.28515625" bestFit="1" customWidth="1"/>
    <col min="67" max="67" width="23.140625" bestFit="1" customWidth="1"/>
    <col min="68" max="68" width="8.42578125" bestFit="1" customWidth="1"/>
    <col min="69" max="69" width="21.42578125" bestFit="1" customWidth="1"/>
    <col min="70" max="70" width="7.42578125" bestFit="1" customWidth="1"/>
    <col min="71" max="71" width="6.5703125" bestFit="1" customWidth="1"/>
    <col min="72" max="72" width="8" bestFit="1" customWidth="1"/>
    <col min="73" max="73" width="7" bestFit="1" customWidth="1"/>
    <col min="74" max="74" width="10.28515625" bestFit="1" customWidth="1"/>
    <col min="75" max="75" width="7.7109375" bestFit="1" customWidth="1"/>
    <col min="76" max="76" width="8.140625" bestFit="1" customWidth="1"/>
    <col min="77" max="77" width="8.5703125" bestFit="1" customWidth="1"/>
    <col min="78" max="78" width="9.28515625" bestFit="1" customWidth="1"/>
    <col min="79" max="79" width="7.85546875" bestFit="1" customWidth="1"/>
    <col min="80" max="80" width="7" bestFit="1" customWidth="1"/>
    <col min="81" max="81" width="6.42578125" bestFit="1" customWidth="1"/>
    <col min="82" max="82" width="9.85546875" bestFit="1" customWidth="1"/>
    <col min="83" max="83" width="8.28515625" bestFit="1" customWidth="1"/>
    <col min="84" max="84" width="9.42578125" bestFit="1" customWidth="1"/>
    <col min="85" max="85" width="6.7109375" bestFit="1" customWidth="1"/>
    <col min="86" max="86" width="10.28515625" bestFit="1" customWidth="1"/>
    <col min="87" max="87" width="7.7109375" bestFit="1" customWidth="1"/>
    <col min="88" max="88" width="9.28515625" bestFit="1" customWidth="1"/>
    <col min="89" max="89" width="10" bestFit="1" customWidth="1"/>
    <col min="90" max="90" width="24.5703125" bestFit="1" customWidth="1"/>
    <col min="91" max="91" width="8" bestFit="1" customWidth="1"/>
    <col min="92" max="92" width="9.7109375" bestFit="1" customWidth="1"/>
    <col min="93" max="93" width="10.7109375" bestFit="1" customWidth="1"/>
    <col min="94" max="94" width="9.42578125" bestFit="1" customWidth="1"/>
    <col min="95" max="95" width="8.85546875" bestFit="1" customWidth="1"/>
    <col min="96" max="96" width="9.42578125" bestFit="1" customWidth="1"/>
    <col min="97" max="97" width="8.85546875" bestFit="1" customWidth="1"/>
    <col min="98" max="98" width="7" bestFit="1" customWidth="1"/>
    <col min="99" max="99" width="11.5703125" bestFit="1" customWidth="1"/>
    <col min="100" max="100" width="8.85546875" bestFit="1" customWidth="1"/>
    <col min="101" max="101" width="9.5703125" bestFit="1" customWidth="1"/>
    <col min="102" max="103" width="25.28515625" bestFit="1" customWidth="1"/>
    <col min="104" max="105" width="12.140625" bestFit="1" customWidth="1"/>
    <col min="106" max="106" width="7.140625" bestFit="1" customWidth="1"/>
    <col min="107" max="107" width="8.42578125" bestFit="1" customWidth="1"/>
    <col min="108" max="108" width="8.28515625" bestFit="1" customWidth="1"/>
    <col min="109" max="109" width="11.85546875" bestFit="1" customWidth="1"/>
    <col min="110" max="110" width="8.5703125" bestFit="1" customWidth="1"/>
    <col min="111" max="111" width="9.28515625" bestFit="1" customWidth="1"/>
    <col min="112" max="112" width="9.7109375" bestFit="1" customWidth="1"/>
    <col min="113" max="113" width="10.28515625" bestFit="1" customWidth="1"/>
    <col min="114" max="114" width="9.7109375" bestFit="1" customWidth="1"/>
    <col min="115" max="115" width="9.5703125" bestFit="1" customWidth="1"/>
    <col min="116" max="116" width="9" bestFit="1" customWidth="1"/>
    <col min="117" max="117" width="9.28515625" bestFit="1" customWidth="1"/>
    <col min="118" max="118" width="10.28515625" bestFit="1" customWidth="1"/>
    <col min="119" max="119" width="9.42578125" bestFit="1" customWidth="1"/>
    <col min="120" max="120" width="7.85546875" bestFit="1" customWidth="1"/>
    <col min="121" max="121" width="8.7109375" bestFit="1" customWidth="1"/>
    <col min="122" max="122" width="8.140625" bestFit="1" customWidth="1"/>
    <col min="123" max="123" width="6.5703125" bestFit="1" customWidth="1"/>
    <col min="124" max="124" width="8.7109375" bestFit="1" customWidth="1"/>
    <col min="126" max="126" width="10.7109375" bestFit="1" customWidth="1"/>
    <col min="127" max="127" width="8.7109375" bestFit="1" customWidth="1"/>
    <col min="128" max="128" width="11.85546875" bestFit="1" customWidth="1"/>
    <col min="129" max="129" width="11.140625" bestFit="1" customWidth="1"/>
    <col min="130" max="130" width="9.28515625" bestFit="1" customWidth="1"/>
    <col min="131" max="131" width="8" bestFit="1" customWidth="1"/>
    <col min="132" max="132" width="9.5703125" bestFit="1" customWidth="1"/>
    <col min="133" max="133" width="7.42578125" bestFit="1" customWidth="1"/>
    <col min="135" max="135" width="10.7109375" bestFit="1" customWidth="1"/>
    <col min="136" max="137" width="9.5703125" bestFit="1" customWidth="1"/>
    <col min="138" max="138" width="7.140625" bestFit="1" customWidth="1"/>
    <col min="139" max="139" width="10" bestFit="1" customWidth="1"/>
    <col min="140" max="140" width="7.7109375" bestFit="1" customWidth="1"/>
    <col min="141" max="141" width="10.140625" bestFit="1" customWidth="1"/>
    <col min="143" max="143" width="8.140625" bestFit="1" customWidth="1"/>
    <col min="144" max="144" width="10.140625" bestFit="1" customWidth="1"/>
    <col min="145" max="145" width="7.42578125" bestFit="1" customWidth="1"/>
    <col min="146" max="146" width="25.28515625" bestFit="1" customWidth="1"/>
    <col min="147" max="147" width="20.42578125" bestFit="1" customWidth="1"/>
    <col min="148" max="148" width="10" bestFit="1" customWidth="1"/>
    <col min="149" max="149" width="9.28515625" bestFit="1" customWidth="1"/>
    <col min="150" max="150" width="8.7109375" bestFit="1" customWidth="1"/>
    <col min="151" max="151" width="6.42578125" bestFit="1" customWidth="1"/>
    <col min="152" max="152" width="8.5703125" bestFit="1" customWidth="1"/>
    <col min="153" max="153" width="8.28515625" bestFit="1" customWidth="1"/>
    <col min="154" max="154" width="8.5703125" bestFit="1" customWidth="1"/>
    <col min="155" max="155" width="19.7109375" bestFit="1" customWidth="1"/>
    <col min="156" max="156" width="22" bestFit="1" customWidth="1"/>
    <col min="157" max="157" width="20.7109375" bestFit="1" customWidth="1"/>
    <col min="158" max="158" width="19.85546875" bestFit="1" customWidth="1"/>
    <col min="159" max="159" width="9.28515625" bestFit="1" customWidth="1"/>
    <col min="160" max="160" width="7.5703125" bestFit="1" customWidth="1"/>
    <col min="161" max="161" width="6.5703125" bestFit="1" customWidth="1"/>
    <col min="162" max="162" width="7.85546875" bestFit="1" customWidth="1"/>
    <col min="163" max="163" width="20.140625" bestFit="1" customWidth="1"/>
    <col min="164" max="164" width="10" bestFit="1" customWidth="1"/>
    <col min="165" max="165" width="7.140625" bestFit="1" customWidth="1"/>
    <col min="166" max="166" width="5.5703125" bestFit="1" customWidth="1"/>
    <col min="167" max="167" width="7.140625" bestFit="1" customWidth="1"/>
    <col min="168" max="168" width="7" bestFit="1" customWidth="1"/>
    <col min="170" max="170" width="9.7109375" bestFit="1" customWidth="1"/>
    <col min="171" max="171" width="8.85546875" bestFit="1" customWidth="1"/>
    <col min="172" max="172" width="9.7109375" bestFit="1" customWidth="1"/>
    <col min="173" max="173" width="9.85546875" bestFit="1" customWidth="1"/>
    <col min="174" max="174" width="8.140625" bestFit="1" customWidth="1"/>
    <col min="175" max="175" width="7.140625" bestFit="1" customWidth="1"/>
    <col min="176" max="177" width="8.42578125" bestFit="1" customWidth="1"/>
    <col min="178" max="178" width="7.28515625" bestFit="1" customWidth="1"/>
    <col min="179" max="179" width="8.85546875" bestFit="1" customWidth="1"/>
    <col min="180" max="180" width="10.42578125" bestFit="1" customWidth="1"/>
    <col min="181" max="181" width="8.7109375" bestFit="1" customWidth="1"/>
    <col min="182" max="182" width="7.7109375" bestFit="1" customWidth="1"/>
    <col min="183" max="183" width="10.7109375" bestFit="1" customWidth="1"/>
    <col min="184" max="184" width="8.5703125" bestFit="1" customWidth="1"/>
    <col min="185" max="185" width="7.140625" bestFit="1" customWidth="1"/>
    <col min="186" max="186" width="9.42578125" bestFit="1" customWidth="1"/>
    <col min="188" max="188" width="7.85546875" bestFit="1" customWidth="1"/>
    <col min="189" max="189" width="7.42578125" bestFit="1" customWidth="1"/>
    <col min="190" max="191" width="9" bestFit="1" customWidth="1"/>
    <col min="192" max="192" width="10.5703125" bestFit="1" customWidth="1"/>
    <col min="193" max="193" width="6.5703125" bestFit="1" customWidth="1"/>
    <col min="194" max="194" width="6.28515625" bestFit="1" customWidth="1"/>
    <col min="195" max="195" width="10.5703125" bestFit="1" customWidth="1"/>
    <col min="196" max="196" width="9.5703125" bestFit="1" customWidth="1"/>
    <col min="197" max="197" width="9" bestFit="1" customWidth="1"/>
    <col min="198" max="198" width="9.7109375" bestFit="1" customWidth="1"/>
    <col min="199" max="199" width="6.5703125" bestFit="1" customWidth="1"/>
    <col min="200" max="200" width="7.5703125" bestFit="1" customWidth="1"/>
    <col min="201" max="201" width="7.85546875" bestFit="1" customWidth="1"/>
    <col min="202" max="202" width="7.5703125" bestFit="1" customWidth="1"/>
    <col min="203" max="203" width="10.140625" bestFit="1" customWidth="1"/>
    <col min="204" max="204" width="5.7109375" bestFit="1" customWidth="1"/>
    <col min="205" max="205" width="10.140625" bestFit="1" customWidth="1"/>
    <col min="206" max="206" width="7.7109375" bestFit="1" customWidth="1"/>
    <col min="207" max="207" width="6.85546875" bestFit="1" customWidth="1"/>
    <col min="208" max="208" width="8.7109375" bestFit="1" customWidth="1"/>
    <col min="209" max="209" width="10.28515625" bestFit="1" customWidth="1"/>
    <col min="210" max="210" width="10" bestFit="1" customWidth="1"/>
    <col min="211" max="211" width="8.28515625" bestFit="1" customWidth="1"/>
    <col min="212" max="212" width="10" bestFit="1" customWidth="1"/>
    <col min="213" max="214" width="7.42578125" bestFit="1" customWidth="1"/>
    <col min="215" max="215" width="9.28515625" bestFit="1" customWidth="1"/>
    <col min="216" max="216" width="9.42578125" bestFit="1" customWidth="1"/>
    <col min="217" max="217" width="10.140625" bestFit="1" customWidth="1"/>
    <col min="218" max="218" width="10.5703125" bestFit="1" customWidth="1"/>
    <col min="219" max="219" width="8.28515625" bestFit="1" customWidth="1"/>
    <col min="220" max="220" width="7" bestFit="1" customWidth="1"/>
    <col min="221" max="221" width="8.140625" bestFit="1" customWidth="1"/>
    <col min="222" max="222" width="7.7109375" bestFit="1" customWidth="1"/>
    <col min="223" max="223" width="11.28515625" bestFit="1" customWidth="1"/>
    <col min="224" max="224" width="9.85546875" bestFit="1" customWidth="1"/>
    <col min="225" max="225" width="8" bestFit="1" customWidth="1"/>
    <col min="226" max="226" width="7.42578125" bestFit="1" customWidth="1"/>
    <col min="227" max="227" width="7.5703125" bestFit="1" customWidth="1"/>
    <col min="228" max="228" width="6.85546875" bestFit="1" customWidth="1"/>
    <col min="229" max="229" width="8.5703125" bestFit="1" customWidth="1"/>
    <col min="230" max="230" width="10.28515625" bestFit="1" customWidth="1"/>
    <col min="231" max="231" width="7.7109375" bestFit="1" customWidth="1"/>
    <col min="232" max="232" width="7.140625" bestFit="1" customWidth="1"/>
    <col min="233" max="233" width="7.5703125" bestFit="1" customWidth="1"/>
    <col min="234" max="234" width="9.42578125" bestFit="1" customWidth="1"/>
    <col min="235" max="235" width="8.42578125" bestFit="1" customWidth="1"/>
    <col min="236" max="236" width="7.5703125" bestFit="1" customWidth="1"/>
    <col min="237" max="237" width="6.42578125" bestFit="1" customWidth="1"/>
    <col min="238" max="238" width="7" bestFit="1" customWidth="1"/>
    <col min="239" max="239" width="7.85546875" bestFit="1" customWidth="1"/>
    <col min="240" max="240" width="20.140625" bestFit="1" customWidth="1"/>
    <col min="241" max="241" width="10.5703125" bestFit="1" customWidth="1"/>
    <col min="242" max="242" width="9.42578125" bestFit="1" customWidth="1"/>
    <col min="243" max="243" width="10.28515625" bestFit="1" customWidth="1"/>
    <col min="244" max="244" width="25.140625" bestFit="1" customWidth="1"/>
    <col min="245" max="245" width="9.85546875" bestFit="1" customWidth="1"/>
    <col min="246" max="246" width="24.28515625" bestFit="1" customWidth="1"/>
    <col min="247" max="247" width="6.7109375" bestFit="1" customWidth="1"/>
    <col min="248" max="248" width="10.42578125" bestFit="1" customWidth="1"/>
    <col min="249" max="249" width="9.7109375" bestFit="1" customWidth="1"/>
    <col min="250" max="250" width="7.42578125" bestFit="1" customWidth="1"/>
    <col min="251" max="251" width="19.28515625" bestFit="1" customWidth="1"/>
    <col min="252" max="252" width="9.28515625" bestFit="1" customWidth="1"/>
    <col min="253" max="253" width="5.85546875" bestFit="1" customWidth="1"/>
    <col min="254" max="254" width="8" bestFit="1" customWidth="1"/>
    <col min="255" max="255" width="8.7109375" bestFit="1" customWidth="1"/>
    <col min="256" max="256" width="21.140625" bestFit="1" customWidth="1"/>
    <col min="257" max="257" width="20" bestFit="1" customWidth="1"/>
    <col min="258" max="258" width="8.42578125" bestFit="1" customWidth="1"/>
    <col min="259" max="259" width="6.28515625" bestFit="1" customWidth="1"/>
    <col min="260" max="260" width="16.85546875" bestFit="1" customWidth="1"/>
    <col min="261" max="261" width="9.42578125" bestFit="1" customWidth="1"/>
    <col min="262" max="262" width="6.28515625" bestFit="1" customWidth="1"/>
    <col min="263" max="263" width="7.42578125" bestFit="1" customWidth="1"/>
    <col min="264" max="264" width="7" bestFit="1" customWidth="1"/>
    <col min="265" max="265" width="7.42578125" bestFit="1" customWidth="1"/>
    <col min="266" max="266" width="7" bestFit="1" customWidth="1"/>
    <col min="267" max="267" width="8.7109375" bestFit="1" customWidth="1"/>
    <col min="268" max="268" width="8.42578125" bestFit="1" customWidth="1"/>
    <col min="269" max="269" width="7" bestFit="1" customWidth="1"/>
    <col min="270" max="270" width="6.7109375" bestFit="1" customWidth="1"/>
    <col min="271" max="271" width="7" bestFit="1" customWidth="1"/>
    <col min="272" max="272" width="7.5703125" bestFit="1" customWidth="1"/>
    <col min="273" max="273" width="7.42578125" bestFit="1" customWidth="1"/>
    <col min="274" max="274" width="9.5703125" bestFit="1" customWidth="1"/>
    <col min="275" max="275" width="7.7109375" bestFit="1" customWidth="1"/>
    <col min="276" max="276" width="10.140625" bestFit="1" customWidth="1"/>
    <col min="277" max="277" width="9.5703125" bestFit="1" customWidth="1"/>
    <col min="278" max="278" width="21.5703125" bestFit="1" customWidth="1"/>
    <col min="279" max="279" width="19.140625" bestFit="1" customWidth="1"/>
    <col min="280" max="280" width="19.28515625" bestFit="1" customWidth="1"/>
    <col min="281" max="281" width="19.5703125" bestFit="1" customWidth="1"/>
    <col min="282" max="284" width="8.7109375" bestFit="1" customWidth="1"/>
    <col min="285" max="285" width="7.28515625" bestFit="1" customWidth="1"/>
    <col min="286" max="286" width="6.7109375" bestFit="1" customWidth="1"/>
    <col min="287" max="287" width="8.85546875" bestFit="1" customWidth="1"/>
    <col min="288" max="288" width="23.28515625" bestFit="1" customWidth="1"/>
    <col min="289" max="289" width="8" bestFit="1" customWidth="1"/>
    <col min="290" max="290" width="9.85546875" bestFit="1" customWidth="1"/>
    <col min="291" max="291" width="8.7109375" bestFit="1" customWidth="1"/>
    <col min="292" max="292" width="7" bestFit="1" customWidth="1"/>
    <col min="293" max="293" width="8" bestFit="1" customWidth="1"/>
    <col min="294" max="294" width="9.42578125" bestFit="1" customWidth="1"/>
    <col min="295" max="295" width="23.42578125" bestFit="1" customWidth="1"/>
    <col min="296" max="296" width="8.42578125" bestFit="1" customWidth="1"/>
    <col min="297" max="297" width="9.42578125" bestFit="1" customWidth="1"/>
    <col min="298" max="298" width="8.28515625" bestFit="1" customWidth="1"/>
    <col min="299" max="299" width="9.7109375" bestFit="1" customWidth="1"/>
    <col min="300" max="300" width="8.42578125" bestFit="1" customWidth="1"/>
    <col min="301" max="301" width="8.85546875" bestFit="1" customWidth="1"/>
    <col min="302" max="302" width="8.140625" bestFit="1" customWidth="1"/>
    <col min="303" max="303" width="9" bestFit="1" customWidth="1"/>
    <col min="304" max="304" width="10" bestFit="1" customWidth="1"/>
    <col min="305" max="305" width="10.140625" bestFit="1" customWidth="1"/>
    <col min="306" max="306" width="24.85546875" bestFit="1" customWidth="1"/>
    <col min="307" max="307" width="7.85546875" bestFit="1" customWidth="1"/>
    <col min="308" max="308" width="11.42578125" bestFit="1" customWidth="1"/>
    <col min="309" max="309" width="11.28515625" bestFit="1" customWidth="1"/>
    <col min="310" max="310" width="12" bestFit="1" customWidth="1"/>
    <col min="311" max="311" width="10.5703125" bestFit="1" customWidth="1"/>
    <col min="312" max="312" width="10.7109375" bestFit="1" customWidth="1"/>
    <col min="313" max="313" width="11.140625" bestFit="1" customWidth="1"/>
    <col min="315" max="315" width="6.5703125" bestFit="1" customWidth="1"/>
    <col min="316" max="316" width="22" bestFit="1" customWidth="1"/>
    <col min="317" max="317" width="21.7109375" bestFit="1" customWidth="1"/>
    <col min="318" max="318" width="9.5703125" bestFit="1" customWidth="1"/>
    <col min="319" max="319" width="7.5703125" bestFit="1" customWidth="1"/>
    <col min="320" max="320" width="7.42578125" bestFit="1" customWidth="1"/>
    <col min="321" max="321" width="11" bestFit="1" customWidth="1"/>
    <col min="322" max="322" width="26.7109375" bestFit="1" customWidth="1"/>
    <col min="323" max="323" width="10" bestFit="1" customWidth="1"/>
    <col min="324" max="324" width="7.5703125" bestFit="1" customWidth="1"/>
    <col min="325" max="325" width="10.28515625" bestFit="1" customWidth="1"/>
    <col min="326" max="326" width="6.85546875" bestFit="1" customWidth="1"/>
    <col min="327" max="327" width="8.85546875" bestFit="1" customWidth="1"/>
    <col min="328" max="328" width="8.28515625" bestFit="1" customWidth="1"/>
    <col min="329" max="329" width="9.7109375" bestFit="1" customWidth="1"/>
    <col min="330" max="330" width="5.7109375" bestFit="1" customWidth="1"/>
    <col min="331" max="331" width="7.42578125" bestFit="1" customWidth="1"/>
    <col min="332" max="332" width="8.5703125" bestFit="1" customWidth="1"/>
    <col min="333" max="333" width="9.5703125" bestFit="1" customWidth="1"/>
    <col min="334" max="334" width="6.7109375" bestFit="1" customWidth="1"/>
    <col min="335" max="335" width="7.5703125" bestFit="1" customWidth="1"/>
    <col min="336" max="336" width="5.7109375" bestFit="1" customWidth="1"/>
    <col min="337" max="337" width="8.85546875" bestFit="1" customWidth="1"/>
    <col min="338" max="338" width="4.85546875" bestFit="1" customWidth="1"/>
    <col min="339" max="339" width="7.28515625" bestFit="1" customWidth="1"/>
    <col min="340" max="340" width="9.42578125" bestFit="1" customWidth="1"/>
    <col min="341" max="341" width="8.140625" bestFit="1" customWidth="1"/>
    <col min="342" max="342" width="7.42578125" bestFit="1" customWidth="1"/>
    <col min="343" max="343" width="11.5703125" bestFit="1" customWidth="1"/>
    <col min="344" max="344" width="27.85546875" bestFit="1" customWidth="1"/>
    <col min="345" max="345" width="10" bestFit="1" customWidth="1"/>
    <col min="346" max="346" width="8.28515625" bestFit="1" customWidth="1"/>
    <col min="347" max="347" width="21.5703125" bestFit="1" customWidth="1"/>
    <col min="348" max="348" width="22" bestFit="1" customWidth="1"/>
    <col min="349" max="349" width="7.7109375" bestFit="1" customWidth="1"/>
    <col min="350" max="350" width="7.28515625" bestFit="1" customWidth="1"/>
    <col min="351" max="351" width="5.5703125" bestFit="1" customWidth="1"/>
    <col min="352" max="352" width="5.85546875" bestFit="1" customWidth="1"/>
    <col min="353" max="353" width="6.140625" bestFit="1" customWidth="1"/>
    <col min="354" max="354" width="5.42578125" bestFit="1" customWidth="1"/>
    <col min="356" max="356" width="7.42578125" bestFit="1" customWidth="1"/>
    <col min="357" max="357" width="7.140625" bestFit="1" customWidth="1"/>
    <col min="359" max="359" width="10.7109375" bestFit="1" customWidth="1"/>
    <col min="360" max="360" width="9" bestFit="1" customWidth="1"/>
    <col min="361" max="361" width="10.7109375" bestFit="1" customWidth="1"/>
    <col min="362" max="362" width="7.140625" bestFit="1" customWidth="1"/>
    <col min="363" max="363" width="19.7109375" bestFit="1" customWidth="1"/>
    <col min="364" max="364" width="7.85546875" bestFit="1" customWidth="1"/>
    <col min="365" max="365" width="20.140625" bestFit="1" customWidth="1"/>
    <col min="366" max="366" width="20.85546875" bestFit="1" customWidth="1"/>
    <col min="367" max="367" width="6.5703125" bestFit="1" customWidth="1"/>
    <col min="368" max="368" width="8.85546875" bestFit="1" customWidth="1"/>
    <col min="369" max="369" width="24.28515625" bestFit="1" customWidth="1"/>
    <col min="370" max="370" width="22.5703125" bestFit="1" customWidth="1"/>
    <col min="371" max="371" width="7.85546875" bestFit="1" customWidth="1"/>
    <col min="372" max="372" width="6.85546875" bestFit="1" customWidth="1"/>
    <col min="373" max="373" width="8.5703125" bestFit="1" customWidth="1"/>
    <col min="374" max="374" width="7.7109375" bestFit="1" customWidth="1"/>
    <col min="375" max="375" width="6.28515625" bestFit="1" customWidth="1"/>
    <col min="376" max="376" width="16.85546875" bestFit="1" customWidth="1"/>
    <col min="377" max="377" width="6.42578125" bestFit="1" customWidth="1"/>
    <col min="378" max="378" width="17.28515625" bestFit="1" customWidth="1"/>
    <col min="379" max="379" width="8.28515625" bestFit="1" customWidth="1"/>
    <col min="380" max="380" width="9.42578125" bestFit="1" customWidth="1"/>
    <col min="381" max="381" width="7" bestFit="1" customWidth="1"/>
    <col min="382" max="382" width="7.42578125" bestFit="1" customWidth="1"/>
    <col min="383" max="383" width="9.28515625" bestFit="1" customWidth="1"/>
    <col min="385" max="385" width="7.7109375" bestFit="1" customWidth="1"/>
    <col min="386" max="386" width="6.5703125" bestFit="1" customWidth="1"/>
    <col min="387" max="387" width="8.140625" bestFit="1" customWidth="1"/>
    <col min="388" max="388" width="7.7109375" bestFit="1" customWidth="1"/>
    <col min="389" max="389" width="8.28515625" bestFit="1" customWidth="1"/>
    <col min="390" max="390" width="6.140625" bestFit="1" customWidth="1"/>
    <col min="391" max="391" width="7.28515625" bestFit="1" customWidth="1"/>
    <col min="392" max="392" width="7.85546875" bestFit="1" customWidth="1"/>
    <col min="393" max="393" width="8.7109375" bestFit="1" customWidth="1"/>
    <col min="394" max="394" width="22" bestFit="1" customWidth="1"/>
    <col min="395" max="395" width="6" bestFit="1" customWidth="1"/>
    <col min="396" max="396" width="8.42578125" bestFit="1" customWidth="1"/>
    <col min="397" max="397" width="7.5703125" bestFit="1" customWidth="1"/>
    <col min="398" max="398" width="19.5703125" bestFit="1" customWidth="1"/>
    <col min="399" max="399" width="8.7109375" bestFit="1" customWidth="1"/>
    <col min="400" max="400" width="5.7109375" bestFit="1" customWidth="1"/>
    <col min="401" max="401" width="10" bestFit="1" customWidth="1"/>
    <col min="402" max="402" width="9.42578125" bestFit="1" customWidth="1"/>
    <col min="403" max="403" width="7.85546875" bestFit="1" customWidth="1"/>
    <col min="404" max="404" width="5.85546875" bestFit="1" customWidth="1"/>
    <col min="405" max="405" width="6.85546875" bestFit="1" customWidth="1"/>
    <col min="406" max="406" width="9.5703125" bestFit="1" customWidth="1"/>
    <col min="407" max="407" width="9" bestFit="1" customWidth="1"/>
    <col min="408" max="408" width="8" bestFit="1" customWidth="1"/>
    <col min="409" max="409" width="6.7109375" bestFit="1" customWidth="1"/>
    <col min="410" max="410" width="9.42578125" bestFit="1" customWidth="1"/>
    <col min="411" max="411" width="9" bestFit="1" customWidth="1"/>
    <col min="412" max="412" width="8" bestFit="1" customWidth="1"/>
    <col min="413" max="413" width="10.5703125" bestFit="1" customWidth="1"/>
    <col min="414" max="414" width="11" bestFit="1" customWidth="1"/>
    <col min="415" max="415" width="9.85546875" bestFit="1" customWidth="1"/>
    <col min="416" max="416" width="11.140625" bestFit="1" customWidth="1"/>
    <col min="418" max="418" width="8.5703125" bestFit="1" customWidth="1"/>
    <col min="419" max="419" width="11.7109375" bestFit="1" customWidth="1"/>
    <col min="420" max="420" width="9" bestFit="1" customWidth="1"/>
    <col min="421" max="421" width="10.42578125" bestFit="1" customWidth="1"/>
    <col min="422" max="422" width="9.85546875" bestFit="1" customWidth="1"/>
    <col min="423" max="423" width="24.28515625" bestFit="1" customWidth="1"/>
    <col min="424" max="424" width="7.85546875" bestFit="1" customWidth="1"/>
    <col min="425" max="425" width="8.28515625" bestFit="1" customWidth="1"/>
    <col min="426" max="426" width="8.5703125" bestFit="1" customWidth="1"/>
    <col min="428" max="428" width="7.7109375" bestFit="1" customWidth="1"/>
    <col min="429" max="429" width="6" bestFit="1" customWidth="1"/>
    <col min="430" max="430" width="8.85546875" bestFit="1" customWidth="1"/>
    <col min="431" max="431" width="11.140625" bestFit="1" customWidth="1"/>
    <col min="432" max="432" width="11.42578125" bestFit="1" customWidth="1"/>
    <col min="433" max="433" width="7.28515625" bestFit="1" customWidth="1"/>
    <col min="434" max="434" width="19" bestFit="1" customWidth="1"/>
    <col min="435" max="435" width="10.28515625" bestFit="1" customWidth="1"/>
    <col min="436" max="436" width="25.140625" bestFit="1" customWidth="1"/>
    <col min="437" max="437" width="8.5703125" bestFit="1" customWidth="1"/>
    <col min="438" max="438" width="10.28515625" bestFit="1" customWidth="1"/>
    <col min="439" max="439" width="18.85546875" bestFit="1" customWidth="1"/>
    <col min="440" max="440" width="24" bestFit="1" customWidth="1"/>
    <col min="441" max="441" width="16.28515625" bestFit="1" customWidth="1"/>
    <col min="442" max="442" width="14" bestFit="1" customWidth="1"/>
    <col min="443" max="443" width="8.140625" bestFit="1" customWidth="1"/>
    <col min="444" max="444" width="7.85546875" bestFit="1" customWidth="1"/>
    <col min="445" max="445" width="10.28515625" bestFit="1" customWidth="1"/>
    <col min="446" max="446" width="25.140625" bestFit="1" customWidth="1"/>
    <col min="447" max="447" width="7.5703125" bestFit="1" customWidth="1"/>
    <col min="448" max="448" width="8.85546875" bestFit="1" customWidth="1"/>
    <col min="449" max="449" width="5.140625" bestFit="1" customWidth="1"/>
    <col min="450" max="450" width="8.42578125" bestFit="1" customWidth="1"/>
    <col min="451" max="452" width="23" bestFit="1" customWidth="1"/>
    <col min="453" max="453" width="8.42578125" bestFit="1" customWidth="1"/>
    <col min="454" max="454" width="9.7109375" bestFit="1" customWidth="1"/>
    <col min="455" max="455" width="10.28515625" bestFit="1" customWidth="1"/>
    <col min="456" max="456" width="7.140625" bestFit="1" customWidth="1"/>
    <col min="457" max="457" width="7.5703125" bestFit="1" customWidth="1"/>
    <col min="458" max="458" width="8.42578125" bestFit="1" customWidth="1"/>
    <col min="460" max="460" width="6.5703125" bestFit="1" customWidth="1"/>
    <col min="461" max="461" width="11.28515625" bestFit="1" customWidth="1"/>
    <col min="462" max="462" width="10.5703125" bestFit="1" customWidth="1"/>
    <col min="463" max="463" width="7.85546875" bestFit="1" customWidth="1"/>
    <col min="464" max="464" width="9.7109375" bestFit="1" customWidth="1"/>
    <col min="465" max="465" width="7.85546875" bestFit="1" customWidth="1"/>
    <col min="466" max="466" width="9.28515625" bestFit="1" customWidth="1"/>
    <col min="467" max="467" width="7.5703125" bestFit="1" customWidth="1"/>
    <col min="468" max="468" width="4.7109375" bestFit="1" customWidth="1"/>
    <col min="469" max="469" width="9.5703125" bestFit="1" customWidth="1"/>
    <col min="470" max="470" width="7" bestFit="1" customWidth="1"/>
    <col min="471" max="471" width="8.7109375" bestFit="1" customWidth="1"/>
    <col min="472" max="472" width="9.7109375" bestFit="1" customWidth="1"/>
    <col min="473" max="473" width="5.28515625" bestFit="1" customWidth="1"/>
    <col min="474" max="474" width="9" bestFit="1" customWidth="1"/>
    <col min="475" max="475" width="11" bestFit="1" customWidth="1"/>
    <col min="476" max="476" width="9.42578125" bestFit="1" customWidth="1"/>
    <col min="477" max="477" width="9.7109375" bestFit="1" customWidth="1"/>
    <col min="478" max="478" width="8.7109375" bestFit="1" customWidth="1"/>
    <col min="479" max="479" width="8.85546875" bestFit="1" customWidth="1"/>
    <col min="480" max="480" width="8.28515625" bestFit="1" customWidth="1"/>
    <col min="481" max="481" width="9.7109375" bestFit="1" customWidth="1"/>
    <col min="482" max="482" width="7.7109375" bestFit="1" customWidth="1"/>
    <col min="483" max="483" width="8.42578125" bestFit="1" customWidth="1"/>
    <col min="484" max="484" width="7" bestFit="1" customWidth="1"/>
    <col min="485" max="485" width="8.140625" bestFit="1" customWidth="1"/>
    <col min="486" max="486" width="9.85546875" bestFit="1" customWidth="1"/>
    <col min="487" max="487" width="7" bestFit="1" customWidth="1"/>
    <col min="488" max="488" width="7.85546875" bestFit="1" customWidth="1"/>
    <col min="489" max="489" width="8.7109375" bestFit="1" customWidth="1"/>
    <col min="490" max="490" width="7.42578125" bestFit="1" customWidth="1"/>
    <col min="492" max="492" width="8.5703125" bestFit="1" customWidth="1"/>
    <col min="493" max="493" width="5.140625" bestFit="1" customWidth="1"/>
    <col min="494" max="494" width="9.5703125" bestFit="1" customWidth="1"/>
    <col min="495" max="495" width="9.28515625" bestFit="1" customWidth="1"/>
    <col min="496" max="496" width="6.28515625" bestFit="1" customWidth="1"/>
    <col min="497" max="497" width="9.42578125" bestFit="1" customWidth="1"/>
    <col min="499" max="499" width="8.28515625" bestFit="1" customWidth="1"/>
    <col min="500" max="501" width="8.42578125" bestFit="1" customWidth="1"/>
    <col min="502" max="502" width="8.140625" bestFit="1" customWidth="1"/>
    <col min="503" max="503" width="5.85546875" bestFit="1" customWidth="1"/>
    <col min="504" max="504" width="8.7109375" bestFit="1" customWidth="1"/>
    <col min="505" max="505" width="6.28515625" bestFit="1" customWidth="1"/>
    <col min="507" max="507" width="8.5703125" bestFit="1" customWidth="1"/>
    <col min="508" max="508" width="7.7109375" bestFit="1" customWidth="1"/>
    <col min="509" max="509" width="6.28515625" bestFit="1" customWidth="1"/>
    <col min="510" max="510" width="7.5703125" bestFit="1" customWidth="1"/>
    <col min="511" max="511" width="10.140625" bestFit="1" customWidth="1"/>
    <col min="512" max="512" width="7.28515625" bestFit="1" customWidth="1"/>
    <col min="513" max="513" width="6" bestFit="1" customWidth="1"/>
    <col min="514" max="514" width="7.85546875" bestFit="1" customWidth="1"/>
    <col min="515" max="515" width="20.140625" bestFit="1" customWidth="1"/>
    <col min="516" max="516" width="9.7109375" bestFit="1" customWidth="1"/>
    <col min="517" max="517" width="7" bestFit="1" customWidth="1"/>
    <col min="518" max="518" width="7.140625" bestFit="1" customWidth="1"/>
    <col min="519" max="519" width="7.28515625" bestFit="1" customWidth="1"/>
    <col min="520" max="520" width="8" bestFit="1" customWidth="1"/>
    <col min="521" max="521" width="9.7109375" bestFit="1" customWidth="1"/>
    <col min="522" max="522" width="7.140625" bestFit="1" customWidth="1"/>
    <col min="523" max="523" width="6.140625" bestFit="1" customWidth="1"/>
    <col min="524" max="524" width="16.5703125" bestFit="1" customWidth="1"/>
    <col min="525" max="525" width="6.7109375" bestFit="1" customWidth="1"/>
    <col min="526" max="526" width="6.5703125" bestFit="1" customWidth="1"/>
    <col min="527" max="527" width="8.5703125" bestFit="1" customWidth="1"/>
    <col min="528" max="528" width="7.85546875" bestFit="1" customWidth="1"/>
    <col min="529" max="529" width="8.85546875" bestFit="1" customWidth="1"/>
    <col min="530" max="530" width="9.42578125" bestFit="1" customWidth="1"/>
    <col min="531" max="531" width="7.140625" bestFit="1" customWidth="1"/>
    <col min="532" max="532" width="10.85546875" bestFit="1" customWidth="1"/>
    <col min="533" max="533" width="8.28515625" bestFit="1" customWidth="1"/>
    <col min="534" max="534" width="9.28515625" bestFit="1" customWidth="1"/>
    <col min="535" max="535" width="10" bestFit="1" customWidth="1"/>
    <col min="536" max="536" width="9.5703125" bestFit="1" customWidth="1"/>
    <col min="537" max="537" width="8.5703125" bestFit="1" customWidth="1"/>
    <col min="538" max="538" width="10.42578125" bestFit="1" customWidth="1"/>
    <col min="539" max="539" width="8.42578125" bestFit="1" customWidth="1"/>
    <col min="540" max="540" width="23.28515625" bestFit="1" customWidth="1"/>
    <col min="541" max="541" width="20.85546875" bestFit="1" customWidth="1"/>
    <col min="542" max="542" width="21" bestFit="1" customWidth="1"/>
    <col min="543" max="543" width="21.42578125" bestFit="1" customWidth="1"/>
    <col min="544" max="544" width="7.42578125" bestFit="1" customWidth="1"/>
    <col min="545" max="545" width="8.140625" bestFit="1" customWidth="1"/>
    <col min="546" max="546" width="7.7109375" bestFit="1" customWidth="1"/>
    <col min="547" max="547" width="6.7109375" bestFit="1" customWidth="1"/>
    <col min="548" max="548" width="9" bestFit="1" customWidth="1"/>
    <col min="549" max="549" width="7.7109375" bestFit="1" customWidth="1"/>
    <col min="551" max="551" width="8.42578125" bestFit="1" customWidth="1"/>
    <col min="552" max="553" width="7.140625" bestFit="1" customWidth="1"/>
    <col min="554" max="554" width="5.5703125" bestFit="1" customWidth="1"/>
    <col min="555" max="555" width="11.140625" bestFit="1" customWidth="1"/>
    <col min="556" max="556" width="9.28515625" bestFit="1" customWidth="1"/>
    <col min="557" max="557" width="8.42578125" bestFit="1" customWidth="1"/>
    <col min="558" max="558" width="7.42578125" bestFit="1" customWidth="1"/>
    <col min="559" max="559" width="9.42578125" bestFit="1" customWidth="1"/>
    <col min="560" max="560" width="23.42578125" bestFit="1" customWidth="1"/>
    <col min="561" max="561" width="7.140625" bestFit="1" customWidth="1"/>
    <col min="562" max="562" width="9.5703125" bestFit="1" customWidth="1"/>
    <col min="563" max="563" width="8.85546875" bestFit="1" customWidth="1"/>
    <col min="564" max="565" width="9.5703125" bestFit="1" customWidth="1"/>
    <col min="566" max="566" width="9.7109375" bestFit="1" customWidth="1"/>
    <col min="567" max="567" width="9.5703125" bestFit="1" customWidth="1"/>
    <col min="568" max="568" width="10" bestFit="1" customWidth="1"/>
    <col min="569" max="569" width="7.85546875" bestFit="1" customWidth="1"/>
    <col min="570" max="570" width="8.5703125" bestFit="1" customWidth="1"/>
    <col min="571" max="571" width="9.85546875" bestFit="1" customWidth="1"/>
    <col min="572" max="572" width="5.7109375" bestFit="1" customWidth="1"/>
    <col min="573" max="573" width="11.140625" bestFit="1" customWidth="1"/>
    <col min="574" max="574" width="7.7109375" bestFit="1" customWidth="1"/>
    <col min="575" max="575" width="9.5703125" bestFit="1" customWidth="1"/>
    <col min="576" max="576" width="7" bestFit="1" customWidth="1"/>
    <col min="577" max="577" width="16.7109375" bestFit="1" customWidth="1"/>
    <col min="578" max="578" width="18.28515625" bestFit="1" customWidth="1"/>
    <col min="579" max="579" width="18" bestFit="1" customWidth="1"/>
    <col min="580" max="580" width="17.85546875" bestFit="1" customWidth="1"/>
    <col min="581" max="581" width="18.7109375" bestFit="1" customWidth="1"/>
    <col min="582" max="582" width="7.28515625" bestFit="1" customWidth="1"/>
    <col min="583" max="583" width="8.140625" bestFit="1" customWidth="1"/>
    <col min="584" max="584" width="20.7109375" bestFit="1" customWidth="1"/>
    <col min="585" max="585" width="10.85546875" bestFit="1" customWidth="1"/>
    <col min="586" max="586" width="26.42578125" bestFit="1" customWidth="1"/>
    <col min="587" max="587" width="9.28515625" bestFit="1" customWidth="1"/>
    <col min="588" max="588" width="7.7109375" bestFit="1" customWidth="1"/>
    <col min="589" max="589" width="10.85546875" bestFit="1" customWidth="1"/>
    <col min="590" max="590" width="10.140625" bestFit="1" customWidth="1"/>
    <col min="591" max="591" width="5.5703125" bestFit="1" customWidth="1"/>
    <col min="592" max="592" width="9.85546875" bestFit="1" customWidth="1"/>
    <col min="593" max="593" width="10.7109375" bestFit="1" customWidth="1"/>
    <col min="594" max="594" width="8.42578125" bestFit="1" customWidth="1"/>
    <col min="595" max="595" width="21.42578125" bestFit="1" customWidth="1"/>
    <col min="596" max="596" width="6.42578125" bestFit="1" customWidth="1"/>
    <col min="597" max="597" width="17.28515625" bestFit="1" customWidth="1"/>
    <col min="598" max="598" width="10" bestFit="1" customWidth="1"/>
    <col min="599" max="599" width="7.28515625" bestFit="1" customWidth="1"/>
    <col min="600" max="601" width="7.85546875" bestFit="1" customWidth="1"/>
    <col min="602" max="602" width="7.140625" bestFit="1" customWidth="1"/>
    <col min="603" max="603" width="8" bestFit="1" customWidth="1"/>
    <col min="604" max="604" width="7.140625" bestFit="1" customWidth="1"/>
    <col min="605" max="605" width="7.42578125" bestFit="1" customWidth="1"/>
    <col min="606" max="606" width="5" bestFit="1" customWidth="1"/>
    <col min="607" max="607" width="11.140625" bestFit="1" customWidth="1"/>
    <col min="608" max="608" width="7.7109375" bestFit="1" customWidth="1"/>
    <col min="609" max="609" width="9.42578125" bestFit="1" customWidth="1"/>
    <col min="610" max="611" width="7.85546875" bestFit="1" customWidth="1"/>
    <col min="612" max="612" width="9.7109375" bestFit="1" customWidth="1"/>
    <col min="613" max="613" width="9.5703125" bestFit="1" customWidth="1"/>
    <col min="614" max="614" width="23.7109375" bestFit="1" customWidth="1"/>
    <col min="615" max="615" width="19.42578125" bestFit="1" customWidth="1"/>
    <col min="616" max="616" width="18.28515625" bestFit="1" customWidth="1"/>
    <col min="617" max="617" width="8.85546875" bestFit="1" customWidth="1"/>
    <col min="618" max="618" width="8.28515625" bestFit="1" customWidth="1"/>
    <col min="619" max="619" width="8.5703125" bestFit="1" customWidth="1"/>
    <col min="620" max="620" width="7.7109375" bestFit="1" customWidth="1"/>
    <col min="621" max="621" width="8.5703125" bestFit="1" customWidth="1"/>
    <col min="622" max="622" width="9" bestFit="1" customWidth="1"/>
    <col min="623" max="623" width="7" bestFit="1" customWidth="1"/>
    <col min="624" max="624" width="6" bestFit="1" customWidth="1"/>
    <col min="625" max="625" width="10.7109375" bestFit="1" customWidth="1"/>
    <col min="626" max="626" width="8.140625" bestFit="1" customWidth="1"/>
    <col min="627" max="627" width="8.5703125" bestFit="1" customWidth="1"/>
    <col min="628" max="628" width="8.140625" bestFit="1" customWidth="1"/>
    <col min="629" max="629" width="7.7109375" bestFit="1" customWidth="1"/>
    <col min="632" max="632" width="8.85546875" bestFit="1" customWidth="1"/>
    <col min="633" max="633" width="9.42578125" bestFit="1" customWidth="1"/>
    <col min="634" max="634" width="7.140625" bestFit="1" customWidth="1"/>
    <col min="635" max="635" width="9.42578125" bestFit="1" customWidth="1"/>
    <col min="636" max="636" width="6.140625" bestFit="1" customWidth="1"/>
    <col min="637" max="637" width="7.85546875" bestFit="1" customWidth="1"/>
    <col min="638" max="638" width="6.7109375" bestFit="1" customWidth="1"/>
    <col min="639" max="639" width="9.28515625" bestFit="1" customWidth="1"/>
    <col min="640" max="640" width="7.42578125" bestFit="1" customWidth="1"/>
    <col min="641" max="641" width="7.7109375" bestFit="1" customWidth="1"/>
    <col min="642" max="642" width="7.5703125" bestFit="1" customWidth="1"/>
    <col min="643" max="643" width="8.28515625" bestFit="1" customWidth="1"/>
    <col min="644" max="644" width="21" bestFit="1" customWidth="1"/>
    <col min="645" max="645" width="9" bestFit="1" customWidth="1"/>
    <col min="646" max="646" width="9.7109375" bestFit="1" customWidth="1"/>
    <col min="647" max="647" width="7.5703125" bestFit="1" customWidth="1"/>
    <col min="648" max="648" width="8.28515625" bestFit="1" customWidth="1"/>
    <col min="649" max="649" width="9.42578125" bestFit="1" customWidth="1"/>
    <col min="650" max="650" width="11.140625" bestFit="1" customWidth="1"/>
    <col min="651" max="651" width="8.140625" bestFit="1" customWidth="1"/>
    <col min="652" max="652" width="5.85546875" bestFit="1" customWidth="1"/>
    <col min="653" max="653" width="7.7109375" bestFit="1" customWidth="1"/>
    <col min="654" max="654" width="8.140625" bestFit="1" customWidth="1"/>
    <col min="655" max="655" width="7.28515625" bestFit="1" customWidth="1"/>
    <col min="656" max="656" width="9" bestFit="1" customWidth="1"/>
    <col min="657" max="657" width="7.5703125" bestFit="1" customWidth="1"/>
    <col min="658" max="658" width="7.7109375" bestFit="1" customWidth="1"/>
    <col min="659" max="659" width="8.7109375" bestFit="1" customWidth="1"/>
    <col min="660" max="660" width="8" bestFit="1" customWidth="1"/>
    <col min="661" max="661" width="7.140625" bestFit="1" customWidth="1"/>
    <col min="662" max="662" width="8.7109375" bestFit="1" customWidth="1"/>
    <col min="663" max="663" width="7.140625" bestFit="1" customWidth="1"/>
    <col min="664" max="664" width="9.85546875" bestFit="1" customWidth="1"/>
    <col min="665" max="665" width="7.140625" bestFit="1" customWidth="1"/>
    <col min="666" max="666" width="8.42578125" bestFit="1" customWidth="1"/>
    <col min="667" max="668" width="8.140625" bestFit="1" customWidth="1"/>
    <col min="669" max="669" width="9.28515625" bestFit="1" customWidth="1"/>
    <col min="670" max="670" width="8.140625" bestFit="1" customWidth="1"/>
    <col min="671" max="671" width="6.140625" bestFit="1" customWidth="1"/>
    <col min="672" max="672" width="8" bestFit="1" customWidth="1"/>
    <col min="673" max="673" width="6.7109375" bestFit="1" customWidth="1"/>
    <col min="674" max="674" width="7.28515625" bestFit="1" customWidth="1"/>
    <col min="675" max="675" width="19" bestFit="1" customWidth="1"/>
    <col min="676" max="676" width="9.7109375" bestFit="1" customWidth="1"/>
    <col min="677" max="677" width="8.42578125" bestFit="1" customWidth="1"/>
    <col min="678" max="678" width="7.140625" bestFit="1" customWidth="1"/>
    <col min="679" max="679" width="11.5703125" bestFit="1" customWidth="1"/>
    <col min="680" max="680" width="8.28515625" bestFit="1" customWidth="1"/>
    <col min="681" max="681" width="8.5703125" bestFit="1" customWidth="1"/>
    <col min="682" max="682" width="8.42578125" bestFit="1" customWidth="1"/>
    <col min="683" max="683" width="7.28515625" bestFit="1" customWidth="1"/>
    <col min="684" max="684" width="7.42578125" bestFit="1" customWidth="1"/>
    <col min="685" max="685" width="9.7109375" bestFit="1" customWidth="1"/>
    <col min="686" max="686" width="7" bestFit="1" customWidth="1"/>
    <col min="687" max="687" width="10" bestFit="1" customWidth="1"/>
    <col min="688" max="688" width="24.5703125" bestFit="1" customWidth="1"/>
    <col min="689" max="689" width="7.85546875" bestFit="1" customWidth="1"/>
    <col min="690" max="690" width="8.42578125" bestFit="1" customWidth="1"/>
    <col min="691" max="691" width="7.5703125" bestFit="1" customWidth="1"/>
    <col min="692" max="692" width="7" bestFit="1" customWidth="1"/>
    <col min="693" max="693" width="8.7109375" bestFit="1" customWidth="1"/>
    <col min="694" max="694" width="8.140625" bestFit="1" customWidth="1"/>
    <col min="695" max="695" width="7.28515625" bestFit="1" customWidth="1"/>
    <col min="696" max="696" width="11" bestFit="1" customWidth="1"/>
    <col min="697" max="697" width="7.85546875" bestFit="1" customWidth="1"/>
    <col min="698" max="698" width="10.28515625" bestFit="1" customWidth="1"/>
    <col min="699" max="699" width="7" bestFit="1" customWidth="1"/>
    <col min="700" max="701" width="9.85546875" bestFit="1" customWidth="1"/>
    <col min="702" max="702" width="10.5703125" bestFit="1" customWidth="1"/>
    <col min="703" max="703" width="5.85546875" bestFit="1" customWidth="1"/>
    <col min="704" max="704" width="9.42578125" bestFit="1" customWidth="1"/>
    <col min="705" max="705" width="6.140625" bestFit="1" customWidth="1"/>
    <col min="706" max="706" width="25.7109375" bestFit="1" customWidth="1"/>
    <col min="707" max="707" width="23.85546875" bestFit="1" customWidth="1"/>
    <col min="708" max="708" width="8" bestFit="1" customWidth="1"/>
    <col min="709" max="709" width="8.28515625" bestFit="1" customWidth="1"/>
    <col min="710" max="710" width="8.85546875" bestFit="1" customWidth="1"/>
    <col min="711" max="711" width="7" bestFit="1" customWidth="1"/>
    <col min="712" max="714" width="7.5703125" bestFit="1" customWidth="1"/>
    <col min="715" max="715" width="24.28515625" bestFit="1" customWidth="1"/>
    <col min="716" max="716" width="22.5703125" bestFit="1" customWidth="1"/>
    <col min="717" max="717" width="8.140625" bestFit="1" customWidth="1"/>
    <col min="718" max="718" width="8.42578125" bestFit="1" customWidth="1"/>
    <col min="719" max="719" width="9.5703125" bestFit="1" customWidth="1"/>
    <col min="720" max="720" width="8.85546875" bestFit="1" customWidth="1"/>
    <col min="721" max="721" width="8.7109375" bestFit="1" customWidth="1"/>
    <col min="722" max="722" width="8.140625" bestFit="1" customWidth="1"/>
    <col min="723" max="723" width="10" bestFit="1" customWidth="1"/>
    <col min="724" max="724" width="7.7109375" bestFit="1" customWidth="1"/>
    <col min="725" max="725" width="8.85546875" bestFit="1" customWidth="1"/>
    <col min="726" max="726" width="7.5703125" bestFit="1" customWidth="1"/>
    <col min="727" max="727" width="8.7109375" bestFit="1" customWidth="1"/>
    <col min="728" max="728" width="8" bestFit="1" customWidth="1"/>
    <col min="729" max="729" width="10.85546875" bestFit="1" customWidth="1"/>
    <col min="730" max="730" width="8.85546875" bestFit="1" customWidth="1"/>
    <col min="731" max="731" width="22.28515625" bestFit="1" customWidth="1"/>
    <col min="732" max="732" width="10.140625" bestFit="1" customWidth="1"/>
    <col min="733" max="733" width="8.140625" bestFit="1" customWidth="1"/>
    <col min="734" max="734" width="6.7109375" bestFit="1" customWidth="1"/>
    <col min="735" max="735" width="9.28515625" bestFit="1" customWidth="1"/>
    <col min="736" max="736" width="9" bestFit="1" customWidth="1"/>
    <col min="737" max="737" width="7.140625" bestFit="1" customWidth="1"/>
    <col min="738" max="738" width="8.42578125" bestFit="1" customWidth="1"/>
    <col min="739" max="739" width="5" bestFit="1" customWidth="1"/>
    <col min="740" max="740" width="8.7109375" bestFit="1" customWidth="1"/>
    <col min="741" max="741" width="8.42578125" bestFit="1" customWidth="1"/>
    <col min="742" max="742" width="9.28515625" bestFit="1" customWidth="1"/>
    <col min="743" max="744" width="9.5703125" bestFit="1" customWidth="1"/>
    <col min="745" max="745" width="10.28515625" bestFit="1" customWidth="1"/>
    <col min="746" max="746" width="8.42578125" bestFit="1" customWidth="1"/>
    <col min="747" max="747" width="9.42578125" bestFit="1" customWidth="1"/>
    <col min="748" max="748" width="23.42578125" bestFit="1" customWidth="1"/>
    <col min="749" max="749" width="10.5703125" bestFit="1" customWidth="1"/>
    <col min="750" max="750" width="7.5703125" bestFit="1" customWidth="1"/>
    <col min="751" max="751" width="6.7109375" bestFit="1" customWidth="1"/>
    <col min="752" max="752" width="10.28515625" bestFit="1" customWidth="1"/>
    <col min="753" max="753" width="8.5703125" bestFit="1" customWidth="1"/>
    <col min="754" max="754" width="10.140625" bestFit="1" customWidth="1"/>
    <col min="755" max="756" width="7.7109375" bestFit="1" customWidth="1"/>
    <col min="757" max="757" width="7.85546875" bestFit="1" customWidth="1"/>
    <col min="758" max="759" width="9.85546875" bestFit="1" customWidth="1"/>
    <col min="760" max="761" width="7.5703125" bestFit="1" customWidth="1"/>
    <col min="762" max="762" width="6.5703125" bestFit="1" customWidth="1"/>
    <col min="763" max="763" width="8.5703125" bestFit="1" customWidth="1"/>
    <col min="764" max="765" width="8" bestFit="1" customWidth="1"/>
    <col min="766" max="766" width="9.5703125" bestFit="1" customWidth="1"/>
    <col min="767" max="767" width="8.85546875" bestFit="1" customWidth="1"/>
    <col min="768" max="768" width="8.28515625" bestFit="1" customWidth="1"/>
    <col min="769" max="769" width="8" bestFit="1" customWidth="1"/>
    <col min="770" max="770" width="11.42578125" bestFit="1" customWidth="1"/>
    <col min="771" max="771" width="8.7109375" bestFit="1" customWidth="1"/>
    <col min="772" max="772" width="11.42578125" bestFit="1" customWidth="1"/>
    <col min="773" max="773" width="11" bestFit="1" customWidth="1"/>
    <col min="774" max="774" width="9.7109375" bestFit="1" customWidth="1"/>
    <col min="776" max="776" width="10.28515625" bestFit="1" customWidth="1"/>
    <col min="777" max="777" width="7.85546875" bestFit="1" customWidth="1"/>
    <col min="778" max="778" width="10.7109375" bestFit="1" customWidth="1"/>
    <col min="779" max="779" width="8" bestFit="1" customWidth="1"/>
    <col min="780" max="780" width="8.140625" bestFit="1" customWidth="1"/>
    <col min="781" max="781" width="21.85546875" bestFit="1" customWidth="1"/>
    <col min="782" max="782" width="22.7109375" bestFit="1" customWidth="1"/>
    <col min="783" max="783" width="22.140625" bestFit="1" customWidth="1"/>
    <col min="784" max="784" width="9.28515625" bestFit="1" customWidth="1"/>
    <col min="785" max="785" width="7.85546875" bestFit="1" customWidth="1"/>
    <col min="786" max="786" width="5" bestFit="1" customWidth="1"/>
    <col min="787" max="787" width="8.28515625" bestFit="1" customWidth="1"/>
    <col min="788" max="788" width="7.85546875" bestFit="1" customWidth="1"/>
    <col min="789" max="789" width="7" bestFit="1" customWidth="1"/>
    <col min="791" max="791" width="7.140625" bestFit="1" customWidth="1"/>
    <col min="792" max="792" width="9.5703125" bestFit="1" customWidth="1"/>
    <col min="793" max="793" width="7.42578125" bestFit="1" customWidth="1"/>
    <col min="794" max="794" width="9.28515625" bestFit="1" customWidth="1"/>
    <col min="795" max="795" width="7.7109375" bestFit="1" customWidth="1"/>
    <col min="796" max="796" width="9.85546875" bestFit="1" customWidth="1"/>
    <col min="797" max="797" width="7.7109375" bestFit="1" customWidth="1"/>
    <col min="798" max="799" width="6" bestFit="1" customWidth="1"/>
    <col min="800" max="800" width="9" bestFit="1" customWidth="1"/>
    <col min="801" max="801" width="18" bestFit="1" customWidth="1"/>
    <col min="802" max="802" width="11.28515625" bestFit="1" customWidth="1"/>
  </cols>
  <sheetData>
    <row r="1" spans="1:12" x14ac:dyDescent="0.25">
      <c r="A1" s="2" t="s">
        <v>2</v>
      </c>
      <c r="B1" t="s">
        <v>836</v>
      </c>
    </row>
    <row r="2" spans="1:12" x14ac:dyDescent="0.25">
      <c r="A2" s="2" t="s">
        <v>3</v>
      </c>
      <c r="B2" t="s">
        <v>836</v>
      </c>
      <c r="J2" s="9"/>
      <c r="K2" s="10"/>
      <c r="L2" s="8"/>
    </row>
    <row r="3" spans="1:12" x14ac:dyDescent="0.25">
      <c r="A3" s="2" t="s">
        <v>11</v>
      </c>
      <c r="B3" t="s">
        <v>836</v>
      </c>
      <c r="J3" s="6"/>
      <c r="K3" s="5"/>
    </row>
    <row r="4" spans="1:12" x14ac:dyDescent="0.25">
      <c r="A4" s="2" t="s">
        <v>12</v>
      </c>
      <c r="B4" t="s">
        <v>836</v>
      </c>
      <c r="J4" s="6"/>
      <c r="K4" s="5"/>
      <c r="L4" s="5"/>
    </row>
    <row r="5" spans="1:12" x14ac:dyDescent="0.25">
      <c r="A5" s="2" t="s">
        <v>832</v>
      </c>
      <c r="B5" t="s">
        <v>834</v>
      </c>
      <c r="J5" s="6"/>
      <c r="K5" s="5"/>
    </row>
    <row r="7" spans="1:12" x14ac:dyDescent="0.25">
      <c r="A7" s="4" t="s">
        <v>1</v>
      </c>
      <c r="B7" t="s">
        <v>838</v>
      </c>
      <c r="C7" t="s">
        <v>839</v>
      </c>
      <c r="D7" t="s">
        <v>840</v>
      </c>
      <c r="E7" t="s">
        <v>841</v>
      </c>
      <c r="F7" t="s">
        <v>842</v>
      </c>
      <c r="G7" t="s">
        <v>843</v>
      </c>
      <c r="H7" t="s">
        <v>844</v>
      </c>
    </row>
    <row r="8" spans="1:12" x14ac:dyDescent="0.25">
      <c r="A8" s="3" t="s">
        <v>543</v>
      </c>
      <c r="B8" s="1">
        <v>494</v>
      </c>
      <c r="C8" s="1">
        <v>90</v>
      </c>
      <c r="D8" s="1">
        <v>92</v>
      </c>
      <c r="E8" s="1">
        <v>75</v>
      </c>
      <c r="F8" s="1">
        <v>92</v>
      </c>
      <c r="G8" s="1">
        <v>85</v>
      </c>
      <c r="H8" s="1">
        <v>60</v>
      </c>
    </row>
    <row r="9" spans="1:12" x14ac:dyDescent="0.25">
      <c r="A9" s="3" t="s">
        <v>94</v>
      </c>
      <c r="B9" s="1">
        <v>310</v>
      </c>
      <c r="C9" s="1">
        <v>25</v>
      </c>
      <c r="D9" s="1">
        <v>20</v>
      </c>
      <c r="E9" s="1">
        <v>15</v>
      </c>
      <c r="F9" s="1">
        <v>105</v>
      </c>
      <c r="G9" s="1">
        <v>55</v>
      </c>
      <c r="H9" s="1">
        <v>90</v>
      </c>
    </row>
    <row r="10" spans="1:12" x14ac:dyDescent="0.25">
      <c r="A10" s="3" t="s">
        <v>425</v>
      </c>
      <c r="B10" s="1">
        <v>465</v>
      </c>
      <c r="C10" s="1">
        <v>65</v>
      </c>
      <c r="D10" s="1">
        <v>130</v>
      </c>
      <c r="E10" s="1">
        <v>60</v>
      </c>
      <c r="F10" s="1">
        <v>75</v>
      </c>
      <c r="G10" s="1">
        <v>60</v>
      </c>
      <c r="H10" s="1">
        <v>75</v>
      </c>
    </row>
    <row r="11" spans="1:12" x14ac:dyDescent="0.25">
      <c r="A11" s="3" t="s">
        <v>710</v>
      </c>
      <c r="B11" s="1">
        <v>495</v>
      </c>
      <c r="C11" s="1">
        <v>80</v>
      </c>
      <c r="D11" s="1">
        <v>70</v>
      </c>
      <c r="E11" s="1">
        <v>40</v>
      </c>
      <c r="F11" s="1">
        <v>100</v>
      </c>
      <c r="G11" s="1">
        <v>60</v>
      </c>
      <c r="H11" s="1">
        <v>145</v>
      </c>
    </row>
    <row r="12" spans="1:12" x14ac:dyDescent="0.25">
      <c r="A12" s="3" t="s">
        <v>783</v>
      </c>
      <c r="B12" s="1">
        <v>520</v>
      </c>
      <c r="C12" s="1">
        <v>60</v>
      </c>
      <c r="D12" s="1">
        <v>150</v>
      </c>
      <c r="E12" s="1">
        <v>50</v>
      </c>
      <c r="F12" s="1">
        <v>150</v>
      </c>
      <c r="G12" s="1">
        <v>50</v>
      </c>
      <c r="H12" s="1">
        <v>60</v>
      </c>
    </row>
    <row r="13" spans="1:12" x14ac:dyDescent="0.25">
      <c r="A13" s="3" t="s">
        <v>782</v>
      </c>
      <c r="B13" s="1">
        <v>520</v>
      </c>
      <c r="C13" s="1">
        <v>60</v>
      </c>
      <c r="D13" s="1">
        <v>50</v>
      </c>
      <c r="E13" s="1">
        <v>150</v>
      </c>
      <c r="F13" s="1">
        <v>50</v>
      </c>
      <c r="G13" s="1">
        <v>150</v>
      </c>
      <c r="H13" s="1">
        <v>60</v>
      </c>
    </row>
    <row r="14" spans="1:12" x14ac:dyDescent="0.25">
      <c r="A14" s="3" t="s">
        <v>186</v>
      </c>
      <c r="B14" s="1">
        <v>515</v>
      </c>
      <c r="C14" s="1">
        <v>80</v>
      </c>
      <c r="D14" s="1">
        <v>105</v>
      </c>
      <c r="E14" s="1">
        <v>65</v>
      </c>
      <c r="F14" s="1">
        <v>60</v>
      </c>
      <c r="G14" s="1">
        <v>75</v>
      </c>
      <c r="H14" s="1">
        <v>130</v>
      </c>
    </row>
    <row r="15" spans="1:12" x14ac:dyDescent="0.25">
      <c r="A15" s="3" t="s">
        <v>365</v>
      </c>
      <c r="B15" s="1">
        <v>530</v>
      </c>
      <c r="C15" s="1">
        <v>70</v>
      </c>
      <c r="D15" s="1">
        <v>110</v>
      </c>
      <c r="E15" s="1">
        <v>180</v>
      </c>
      <c r="F15" s="1">
        <v>60</v>
      </c>
      <c r="G15" s="1">
        <v>60</v>
      </c>
      <c r="H15" s="1">
        <v>50</v>
      </c>
    </row>
    <row r="16" spans="1:12" x14ac:dyDescent="0.25">
      <c r="A16" s="3" t="s">
        <v>237</v>
      </c>
      <c r="B16" s="1">
        <v>360</v>
      </c>
      <c r="C16" s="1">
        <v>55</v>
      </c>
      <c r="D16" s="1">
        <v>70</v>
      </c>
      <c r="E16" s="1">
        <v>55</v>
      </c>
      <c r="F16" s="1">
        <v>40</v>
      </c>
      <c r="G16" s="1">
        <v>55</v>
      </c>
      <c r="H16" s="1">
        <v>85</v>
      </c>
    </row>
    <row r="17" spans="1:8" x14ac:dyDescent="0.25">
      <c r="A17" s="3" t="s">
        <v>97</v>
      </c>
      <c r="B17" s="1">
        <v>500</v>
      </c>
      <c r="C17" s="1">
        <v>55</v>
      </c>
      <c r="D17" s="1">
        <v>50</v>
      </c>
      <c r="E17" s="1">
        <v>45</v>
      </c>
      <c r="F17" s="1">
        <v>135</v>
      </c>
      <c r="G17" s="1">
        <v>95</v>
      </c>
      <c r="H17" s="1">
        <v>120</v>
      </c>
    </row>
    <row r="18" spans="1:8" x14ac:dyDescent="0.25">
      <c r="A18" s="3" t="s">
        <v>687</v>
      </c>
      <c r="B18" s="1">
        <v>470</v>
      </c>
      <c r="C18" s="1">
        <v>165</v>
      </c>
      <c r="D18" s="1">
        <v>75</v>
      </c>
      <c r="E18" s="1">
        <v>80</v>
      </c>
      <c r="F18" s="1">
        <v>40</v>
      </c>
      <c r="G18" s="1">
        <v>45</v>
      </c>
      <c r="H18" s="1">
        <v>65</v>
      </c>
    </row>
    <row r="19" spans="1:8" x14ac:dyDescent="0.25">
      <c r="A19" s="3" t="s">
        <v>398</v>
      </c>
      <c r="B19" s="1">
        <v>490</v>
      </c>
      <c r="C19" s="1">
        <v>75</v>
      </c>
      <c r="D19" s="1">
        <v>70</v>
      </c>
      <c r="E19" s="1">
        <v>90</v>
      </c>
      <c r="F19" s="1">
        <v>70</v>
      </c>
      <c r="G19" s="1">
        <v>105</v>
      </c>
      <c r="H19" s="1">
        <v>80</v>
      </c>
    </row>
    <row r="20" spans="1:8" x14ac:dyDescent="0.25">
      <c r="A20" s="3" t="s">
        <v>800</v>
      </c>
      <c r="B20" s="1">
        <v>362</v>
      </c>
      <c r="C20" s="1">
        <v>77</v>
      </c>
      <c r="D20" s="1">
        <v>59</v>
      </c>
      <c r="E20" s="1">
        <v>50</v>
      </c>
      <c r="F20" s="1">
        <v>67</v>
      </c>
      <c r="G20" s="1">
        <v>63</v>
      </c>
      <c r="H20" s="1">
        <v>46</v>
      </c>
    </row>
    <row r="21" spans="1:8" x14ac:dyDescent="0.25">
      <c r="A21" s="3" t="s">
        <v>503</v>
      </c>
      <c r="B21" s="1">
        <v>482</v>
      </c>
      <c r="C21" s="1">
        <v>75</v>
      </c>
      <c r="D21" s="1">
        <v>100</v>
      </c>
      <c r="E21" s="1">
        <v>66</v>
      </c>
      <c r="F21" s="1">
        <v>60</v>
      </c>
      <c r="G21" s="1">
        <v>66</v>
      </c>
      <c r="H21" s="1">
        <v>115</v>
      </c>
    </row>
    <row r="22" spans="1:8" x14ac:dyDescent="0.25">
      <c r="A22" s="3" t="s">
        <v>684</v>
      </c>
      <c r="B22" s="1">
        <v>464</v>
      </c>
      <c r="C22" s="1">
        <v>114</v>
      </c>
      <c r="D22" s="1">
        <v>85</v>
      </c>
      <c r="E22" s="1">
        <v>70</v>
      </c>
      <c r="F22" s="1">
        <v>85</v>
      </c>
      <c r="G22" s="1">
        <v>80</v>
      </c>
      <c r="H22" s="1">
        <v>30</v>
      </c>
    </row>
    <row r="23" spans="1:8" x14ac:dyDescent="0.25">
      <c r="A23" s="3" t="s">
        <v>228</v>
      </c>
      <c r="B23" s="1">
        <v>510</v>
      </c>
      <c r="C23" s="1">
        <v>90</v>
      </c>
      <c r="D23" s="1">
        <v>75</v>
      </c>
      <c r="E23" s="1">
        <v>85</v>
      </c>
      <c r="F23" s="1">
        <v>115</v>
      </c>
      <c r="G23" s="1">
        <v>90</v>
      </c>
      <c r="H23" s="1">
        <v>55</v>
      </c>
    </row>
    <row r="24" spans="1:8" x14ac:dyDescent="0.25">
      <c r="A24" s="3" t="s">
        <v>411</v>
      </c>
      <c r="B24" s="1">
        <v>355</v>
      </c>
      <c r="C24" s="1">
        <v>45</v>
      </c>
      <c r="D24" s="1">
        <v>95</v>
      </c>
      <c r="E24" s="1">
        <v>50</v>
      </c>
      <c r="F24" s="1">
        <v>40</v>
      </c>
      <c r="G24" s="1">
        <v>50</v>
      </c>
      <c r="H24" s="1">
        <v>75</v>
      </c>
    </row>
    <row r="25" spans="1:8" x14ac:dyDescent="0.25">
      <c r="A25" s="3" t="s">
        <v>51</v>
      </c>
      <c r="B25" s="1">
        <v>438</v>
      </c>
      <c r="C25" s="1">
        <v>60</v>
      </c>
      <c r="D25" s="1">
        <v>85</v>
      </c>
      <c r="E25" s="1">
        <v>69</v>
      </c>
      <c r="F25" s="1">
        <v>65</v>
      </c>
      <c r="G25" s="1">
        <v>79</v>
      </c>
      <c r="H25" s="1">
        <v>80</v>
      </c>
    </row>
    <row r="26" spans="1:8" x14ac:dyDescent="0.25">
      <c r="A26" s="3" t="s">
        <v>90</v>
      </c>
      <c r="B26" s="1">
        <v>555</v>
      </c>
      <c r="C26" s="1">
        <v>90</v>
      </c>
      <c r="D26" s="1">
        <v>110</v>
      </c>
      <c r="E26" s="1">
        <v>80</v>
      </c>
      <c r="F26" s="1">
        <v>100</v>
      </c>
      <c r="G26" s="1">
        <v>80</v>
      </c>
      <c r="H26" s="1">
        <v>95</v>
      </c>
    </row>
    <row r="27" spans="1:8" x14ac:dyDescent="0.25">
      <c r="A27" s="3" t="s">
        <v>584</v>
      </c>
      <c r="B27" s="1">
        <v>720</v>
      </c>
      <c r="C27" s="1">
        <v>120</v>
      </c>
      <c r="D27" s="1">
        <v>120</v>
      </c>
      <c r="E27" s="1">
        <v>120</v>
      </c>
      <c r="F27" s="1">
        <v>120</v>
      </c>
      <c r="G27" s="1">
        <v>120</v>
      </c>
      <c r="H27" s="1">
        <v>120</v>
      </c>
    </row>
    <row r="28" spans="1:8" x14ac:dyDescent="0.25">
      <c r="A28" s="3" t="s">
        <v>659</v>
      </c>
      <c r="B28" s="1">
        <v>401</v>
      </c>
      <c r="C28" s="1">
        <v>55</v>
      </c>
      <c r="D28" s="1">
        <v>112</v>
      </c>
      <c r="E28" s="1">
        <v>45</v>
      </c>
      <c r="F28" s="1">
        <v>74</v>
      </c>
      <c r="G28" s="1">
        <v>45</v>
      </c>
      <c r="H28" s="1">
        <v>70</v>
      </c>
    </row>
    <row r="29" spans="1:8" x14ac:dyDescent="0.25">
      <c r="A29" s="3" t="s">
        <v>660</v>
      </c>
      <c r="B29" s="1">
        <v>567</v>
      </c>
      <c r="C29" s="1">
        <v>75</v>
      </c>
      <c r="D29" s="1">
        <v>140</v>
      </c>
      <c r="E29" s="1">
        <v>65</v>
      </c>
      <c r="F29" s="1">
        <v>112</v>
      </c>
      <c r="G29" s="1">
        <v>65</v>
      </c>
      <c r="H29" s="1">
        <v>110</v>
      </c>
    </row>
    <row r="30" spans="1:8" x14ac:dyDescent="0.25">
      <c r="A30" s="3" t="s">
        <v>214</v>
      </c>
      <c r="B30" s="1">
        <v>390</v>
      </c>
      <c r="C30" s="1">
        <v>70</v>
      </c>
      <c r="D30" s="1">
        <v>90</v>
      </c>
      <c r="E30" s="1">
        <v>70</v>
      </c>
      <c r="F30" s="1">
        <v>60</v>
      </c>
      <c r="G30" s="1">
        <v>60</v>
      </c>
      <c r="H30" s="1">
        <v>40</v>
      </c>
    </row>
    <row r="31" spans="1:8" x14ac:dyDescent="0.25">
      <c r="A31" s="3" t="s">
        <v>412</v>
      </c>
      <c r="B31" s="1">
        <v>495</v>
      </c>
      <c r="C31" s="1">
        <v>75</v>
      </c>
      <c r="D31" s="1">
        <v>125</v>
      </c>
      <c r="E31" s="1">
        <v>100</v>
      </c>
      <c r="F31" s="1">
        <v>70</v>
      </c>
      <c r="G31" s="1">
        <v>80</v>
      </c>
      <c r="H31" s="1">
        <v>45</v>
      </c>
    </row>
    <row r="32" spans="1:8" x14ac:dyDescent="0.25">
      <c r="A32" s="3" t="s">
        <v>785</v>
      </c>
      <c r="B32" s="1">
        <v>462</v>
      </c>
      <c r="C32" s="1">
        <v>101</v>
      </c>
      <c r="D32" s="1">
        <v>72</v>
      </c>
      <c r="E32" s="1">
        <v>72</v>
      </c>
      <c r="F32" s="1">
        <v>99</v>
      </c>
      <c r="G32" s="1">
        <v>89</v>
      </c>
      <c r="H32" s="1">
        <v>29</v>
      </c>
    </row>
    <row r="33" spans="1:8" x14ac:dyDescent="0.25">
      <c r="A33" s="3" t="s">
        <v>362</v>
      </c>
      <c r="B33" s="1">
        <v>330</v>
      </c>
      <c r="C33" s="1">
        <v>50</v>
      </c>
      <c r="D33" s="1">
        <v>70</v>
      </c>
      <c r="E33" s="1">
        <v>100</v>
      </c>
      <c r="F33" s="1">
        <v>40</v>
      </c>
      <c r="G33" s="1">
        <v>40</v>
      </c>
      <c r="H33" s="1">
        <v>30</v>
      </c>
    </row>
    <row r="34" spans="1:8" x14ac:dyDescent="0.25">
      <c r="A34" s="3" t="s">
        <v>188</v>
      </c>
      <c r="B34" s="1">
        <v>580</v>
      </c>
      <c r="C34" s="1">
        <v>90</v>
      </c>
      <c r="D34" s="1">
        <v>85</v>
      </c>
      <c r="E34" s="1">
        <v>100</v>
      </c>
      <c r="F34" s="1">
        <v>95</v>
      </c>
      <c r="G34" s="1">
        <v>125</v>
      </c>
      <c r="H34" s="1">
        <v>85</v>
      </c>
    </row>
    <row r="35" spans="1:8" x14ac:dyDescent="0.25">
      <c r="A35" s="3" t="s">
        <v>622</v>
      </c>
      <c r="B35" s="1">
        <v>445</v>
      </c>
      <c r="C35" s="1">
        <v>103</v>
      </c>
      <c r="D35" s="1">
        <v>60</v>
      </c>
      <c r="E35" s="1">
        <v>86</v>
      </c>
      <c r="F35" s="1">
        <v>60</v>
      </c>
      <c r="G35" s="1">
        <v>86</v>
      </c>
      <c r="H35" s="1">
        <v>50</v>
      </c>
    </row>
    <row r="36" spans="1:8" x14ac:dyDescent="0.25">
      <c r="A36" s="3" t="s">
        <v>801</v>
      </c>
      <c r="B36" s="1">
        <v>521</v>
      </c>
      <c r="C36" s="1">
        <v>123</v>
      </c>
      <c r="D36" s="1">
        <v>77</v>
      </c>
      <c r="E36" s="1">
        <v>72</v>
      </c>
      <c r="F36" s="1">
        <v>99</v>
      </c>
      <c r="G36" s="1">
        <v>92</v>
      </c>
      <c r="H36" s="1">
        <v>58</v>
      </c>
    </row>
    <row r="37" spans="1:8" x14ac:dyDescent="0.25">
      <c r="A37" s="3" t="s">
        <v>821</v>
      </c>
      <c r="B37" s="1">
        <v>514</v>
      </c>
      <c r="C37" s="1">
        <v>95</v>
      </c>
      <c r="D37" s="1">
        <v>117</v>
      </c>
      <c r="E37" s="1">
        <v>184</v>
      </c>
      <c r="F37" s="1">
        <v>44</v>
      </c>
      <c r="G37" s="1">
        <v>46</v>
      </c>
      <c r="H37" s="1">
        <v>28</v>
      </c>
    </row>
    <row r="38" spans="1:8" x14ac:dyDescent="0.25">
      <c r="A38" s="3" t="s">
        <v>703</v>
      </c>
      <c r="B38" s="1">
        <v>320</v>
      </c>
      <c r="C38" s="1">
        <v>46</v>
      </c>
      <c r="D38" s="1">
        <v>87</v>
      </c>
      <c r="E38" s="1">
        <v>60</v>
      </c>
      <c r="F38" s="1">
        <v>30</v>
      </c>
      <c r="G38" s="1">
        <v>40</v>
      </c>
      <c r="H38" s="1">
        <v>57</v>
      </c>
    </row>
    <row r="39" spans="1:8" x14ac:dyDescent="0.25">
      <c r="A39" s="3" t="s">
        <v>571</v>
      </c>
      <c r="B39" s="1">
        <v>580</v>
      </c>
      <c r="C39" s="1">
        <v>75</v>
      </c>
      <c r="D39" s="1">
        <v>125</v>
      </c>
      <c r="E39" s="1">
        <v>70</v>
      </c>
      <c r="F39" s="1">
        <v>125</v>
      </c>
      <c r="G39" s="1">
        <v>70</v>
      </c>
      <c r="H39" s="1">
        <v>115</v>
      </c>
    </row>
    <row r="40" spans="1:8" x14ac:dyDescent="0.25">
      <c r="A40" s="3" t="s">
        <v>231</v>
      </c>
      <c r="B40" s="1">
        <v>420</v>
      </c>
      <c r="C40" s="1">
        <v>100</v>
      </c>
      <c r="D40" s="1">
        <v>50</v>
      </c>
      <c r="E40" s="1">
        <v>80</v>
      </c>
      <c r="F40" s="1">
        <v>60</v>
      </c>
      <c r="G40" s="1">
        <v>80</v>
      </c>
      <c r="H40" s="1">
        <v>50</v>
      </c>
    </row>
    <row r="41" spans="1:8" x14ac:dyDescent="0.25">
      <c r="A41" s="3" t="s">
        <v>354</v>
      </c>
      <c r="B41" s="1">
        <v>190</v>
      </c>
      <c r="C41" s="1">
        <v>50</v>
      </c>
      <c r="D41" s="1">
        <v>20</v>
      </c>
      <c r="E41" s="1">
        <v>40</v>
      </c>
      <c r="F41" s="1">
        <v>20</v>
      </c>
      <c r="G41" s="1">
        <v>40</v>
      </c>
      <c r="H41" s="1">
        <v>20</v>
      </c>
    </row>
    <row r="42" spans="1:8" x14ac:dyDescent="0.25">
      <c r="A42" s="3" t="s">
        <v>438</v>
      </c>
      <c r="B42" s="1">
        <v>300</v>
      </c>
      <c r="C42" s="1">
        <v>45</v>
      </c>
      <c r="D42" s="1">
        <v>75</v>
      </c>
      <c r="E42" s="1">
        <v>60</v>
      </c>
      <c r="F42" s="1">
        <v>40</v>
      </c>
      <c r="G42" s="1">
        <v>30</v>
      </c>
      <c r="H42" s="1">
        <v>50</v>
      </c>
    </row>
    <row r="43" spans="1:8" x14ac:dyDescent="0.25">
      <c r="A43" s="3" t="s">
        <v>407</v>
      </c>
      <c r="B43" s="1">
        <v>300</v>
      </c>
      <c r="C43" s="1">
        <v>40</v>
      </c>
      <c r="D43" s="1">
        <v>40</v>
      </c>
      <c r="E43" s="1">
        <v>55</v>
      </c>
      <c r="F43" s="1">
        <v>40</v>
      </c>
      <c r="G43" s="1">
        <v>70</v>
      </c>
      <c r="H43" s="1">
        <v>55</v>
      </c>
    </row>
    <row r="44" spans="1:8" x14ac:dyDescent="0.25">
      <c r="A44" s="3" t="s">
        <v>418</v>
      </c>
      <c r="B44" s="1">
        <v>455</v>
      </c>
      <c r="C44" s="1">
        <v>64</v>
      </c>
      <c r="D44" s="1">
        <v>115</v>
      </c>
      <c r="E44" s="1">
        <v>65</v>
      </c>
      <c r="F44" s="1">
        <v>83</v>
      </c>
      <c r="G44" s="1">
        <v>63</v>
      </c>
      <c r="H44" s="1">
        <v>65</v>
      </c>
    </row>
    <row r="45" spans="1:8" x14ac:dyDescent="0.25">
      <c r="A45" s="3" t="s">
        <v>791</v>
      </c>
      <c r="B45" s="1">
        <v>500</v>
      </c>
      <c r="C45" s="1">
        <v>72</v>
      </c>
      <c r="D45" s="1">
        <v>105</v>
      </c>
      <c r="E45" s="1">
        <v>115</v>
      </c>
      <c r="F45" s="1">
        <v>54</v>
      </c>
      <c r="G45" s="1">
        <v>86</v>
      </c>
      <c r="H45" s="1">
        <v>68</v>
      </c>
    </row>
    <row r="46" spans="1:8" x14ac:dyDescent="0.25">
      <c r="A46" s="3" t="s">
        <v>403</v>
      </c>
      <c r="B46" s="1">
        <v>288</v>
      </c>
      <c r="C46" s="1">
        <v>50</v>
      </c>
      <c r="D46" s="1">
        <v>48</v>
      </c>
      <c r="E46" s="1">
        <v>43</v>
      </c>
      <c r="F46" s="1">
        <v>46</v>
      </c>
      <c r="G46" s="1">
        <v>41</v>
      </c>
      <c r="H46" s="1">
        <v>60</v>
      </c>
    </row>
    <row r="47" spans="1:8" x14ac:dyDescent="0.25">
      <c r="A47" s="3" t="s">
        <v>642</v>
      </c>
      <c r="B47" s="1">
        <v>460</v>
      </c>
      <c r="C47" s="1">
        <v>70</v>
      </c>
      <c r="D47" s="1">
        <v>92</v>
      </c>
      <c r="E47" s="1">
        <v>65</v>
      </c>
      <c r="F47" s="1">
        <v>80</v>
      </c>
      <c r="G47" s="1">
        <v>55</v>
      </c>
      <c r="H47" s="1">
        <v>98</v>
      </c>
    </row>
    <row r="48" spans="1:8" x14ac:dyDescent="0.25">
      <c r="A48" s="3" t="s">
        <v>488</v>
      </c>
      <c r="B48" s="1">
        <v>495</v>
      </c>
      <c r="C48" s="1">
        <v>60</v>
      </c>
      <c r="D48" s="1">
        <v>52</v>
      </c>
      <c r="E48" s="1">
        <v>168</v>
      </c>
      <c r="F48" s="1">
        <v>47</v>
      </c>
      <c r="G48" s="1">
        <v>138</v>
      </c>
      <c r="H48" s="1">
        <v>30</v>
      </c>
    </row>
    <row r="49" spans="1:8" x14ac:dyDescent="0.25">
      <c r="A49" s="3" t="s">
        <v>199</v>
      </c>
      <c r="B49" s="1">
        <v>405</v>
      </c>
      <c r="C49" s="1">
        <v>60</v>
      </c>
      <c r="D49" s="1">
        <v>62</v>
      </c>
      <c r="E49" s="1">
        <v>80</v>
      </c>
      <c r="F49" s="1">
        <v>63</v>
      </c>
      <c r="G49" s="1">
        <v>80</v>
      </c>
      <c r="H49" s="1">
        <v>60</v>
      </c>
    </row>
    <row r="50" spans="1:8" x14ac:dyDescent="0.25">
      <c r="A50" s="3" t="s">
        <v>707</v>
      </c>
      <c r="B50" s="1">
        <v>485</v>
      </c>
      <c r="C50" s="1">
        <v>95</v>
      </c>
      <c r="D50" s="1">
        <v>110</v>
      </c>
      <c r="E50" s="1">
        <v>80</v>
      </c>
      <c r="F50" s="1">
        <v>70</v>
      </c>
      <c r="G50" s="1">
        <v>80</v>
      </c>
      <c r="H50" s="1">
        <v>50</v>
      </c>
    </row>
    <row r="51" spans="1:8" x14ac:dyDescent="0.25">
      <c r="A51" s="3" t="s">
        <v>322</v>
      </c>
      <c r="B51" s="1">
        <v>395</v>
      </c>
      <c r="C51" s="1">
        <v>60</v>
      </c>
      <c r="D51" s="1">
        <v>70</v>
      </c>
      <c r="E51" s="1">
        <v>50</v>
      </c>
      <c r="F51" s="1">
        <v>100</v>
      </c>
      <c r="G51" s="1">
        <v>50</v>
      </c>
      <c r="H51" s="1">
        <v>65</v>
      </c>
    </row>
    <row r="52" spans="1:8" x14ac:dyDescent="0.25">
      <c r="A52" s="3" t="s">
        <v>39</v>
      </c>
      <c r="B52" s="1">
        <v>395</v>
      </c>
      <c r="C52" s="1">
        <v>65</v>
      </c>
      <c r="D52" s="1">
        <v>90</v>
      </c>
      <c r="E52" s="1">
        <v>40</v>
      </c>
      <c r="F52" s="1">
        <v>45</v>
      </c>
      <c r="G52" s="1">
        <v>80</v>
      </c>
      <c r="H52" s="1">
        <v>75</v>
      </c>
    </row>
    <row r="53" spans="1:8" x14ac:dyDescent="0.25">
      <c r="A53" s="3" t="s">
        <v>699</v>
      </c>
      <c r="B53" s="1">
        <v>485</v>
      </c>
      <c r="C53" s="1">
        <v>75</v>
      </c>
      <c r="D53" s="1">
        <v>75</v>
      </c>
      <c r="E53" s="1">
        <v>75</v>
      </c>
      <c r="F53" s="1">
        <v>125</v>
      </c>
      <c r="G53" s="1">
        <v>95</v>
      </c>
      <c r="H53" s="1">
        <v>40</v>
      </c>
    </row>
    <row r="54" spans="1:8" x14ac:dyDescent="0.25">
      <c r="A54" s="3" t="s">
        <v>442</v>
      </c>
      <c r="B54" s="1">
        <v>300</v>
      </c>
      <c r="C54" s="1">
        <v>40</v>
      </c>
      <c r="D54" s="1">
        <v>55</v>
      </c>
      <c r="E54" s="1">
        <v>80</v>
      </c>
      <c r="F54" s="1">
        <v>35</v>
      </c>
      <c r="G54" s="1">
        <v>60</v>
      </c>
      <c r="H54" s="1">
        <v>30</v>
      </c>
    </row>
    <row r="55" spans="1:8" x14ac:dyDescent="0.25">
      <c r="A55" s="3" t="s">
        <v>229</v>
      </c>
      <c r="B55" s="1">
        <v>490</v>
      </c>
      <c r="C55" s="1">
        <v>75</v>
      </c>
      <c r="D55" s="1">
        <v>80</v>
      </c>
      <c r="E55" s="1">
        <v>95</v>
      </c>
      <c r="F55" s="1">
        <v>90</v>
      </c>
      <c r="G55" s="1">
        <v>100</v>
      </c>
      <c r="H55" s="1">
        <v>50</v>
      </c>
    </row>
    <row r="56" spans="1:8" x14ac:dyDescent="0.25">
      <c r="A56" s="3" t="s">
        <v>102</v>
      </c>
      <c r="B56" s="1">
        <v>300</v>
      </c>
      <c r="C56" s="1">
        <v>50</v>
      </c>
      <c r="D56" s="1">
        <v>75</v>
      </c>
      <c r="E56" s="1">
        <v>35</v>
      </c>
      <c r="F56" s="1">
        <v>70</v>
      </c>
      <c r="G56" s="1">
        <v>30</v>
      </c>
      <c r="H56" s="1">
        <v>40</v>
      </c>
    </row>
    <row r="57" spans="1:8" x14ac:dyDescent="0.25">
      <c r="A57" s="3" t="s">
        <v>820</v>
      </c>
      <c r="B57" s="1">
        <v>304</v>
      </c>
      <c r="C57" s="1">
        <v>55</v>
      </c>
      <c r="D57" s="1">
        <v>69</v>
      </c>
      <c r="E57" s="1">
        <v>85</v>
      </c>
      <c r="F57" s="1">
        <v>32</v>
      </c>
      <c r="G57" s="1">
        <v>35</v>
      </c>
      <c r="H57" s="1">
        <v>28</v>
      </c>
    </row>
    <row r="58" spans="1:8" x14ac:dyDescent="0.25">
      <c r="A58" s="3" t="s">
        <v>477</v>
      </c>
      <c r="B58" s="1">
        <v>410</v>
      </c>
      <c r="C58" s="1">
        <v>79</v>
      </c>
      <c r="D58" s="1">
        <v>85</v>
      </c>
      <c r="E58" s="1">
        <v>60</v>
      </c>
      <c r="F58" s="1">
        <v>55</v>
      </c>
      <c r="G58" s="1">
        <v>60</v>
      </c>
      <c r="H58" s="1">
        <v>71</v>
      </c>
    </row>
    <row r="59" spans="1:8" x14ac:dyDescent="0.25">
      <c r="A59" s="3" t="s">
        <v>476</v>
      </c>
      <c r="B59" s="1">
        <v>250</v>
      </c>
      <c r="C59" s="1">
        <v>59</v>
      </c>
      <c r="D59" s="1">
        <v>45</v>
      </c>
      <c r="E59" s="1">
        <v>40</v>
      </c>
      <c r="F59" s="1">
        <v>35</v>
      </c>
      <c r="G59" s="1">
        <v>40</v>
      </c>
      <c r="H59" s="1">
        <v>31</v>
      </c>
    </row>
    <row r="60" spans="1:8" x14ac:dyDescent="0.25">
      <c r="A60" s="3" t="s">
        <v>790</v>
      </c>
      <c r="B60" s="1">
        <v>306</v>
      </c>
      <c r="C60" s="1">
        <v>42</v>
      </c>
      <c r="D60" s="1">
        <v>52</v>
      </c>
      <c r="E60" s="1">
        <v>67</v>
      </c>
      <c r="F60" s="1">
        <v>39</v>
      </c>
      <c r="G60" s="1">
        <v>56</v>
      </c>
      <c r="H60" s="1">
        <v>50</v>
      </c>
    </row>
    <row r="61" spans="1:8" x14ac:dyDescent="0.25">
      <c r="A61" s="3" t="s">
        <v>718</v>
      </c>
      <c r="B61" s="1">
        <v>490</v>
      </c>
      <c r="C61" s="1">
        <v>65</v>
      </c>
      <c r="D61" s="1">
        <v>125</v>
      </c>
      <c r="E61" s="1">
        <v>100</v>
      </c>
      <c r="F61" s="1">
        <v>60</v>
      </c>
      <c r="G61" s="1">
        <v>70</v>
      </c>
      <c r="H61" s="1">
        <v>70</v>
      </c>
    </row>
    <row r="62" spans="1:8" x14ac:dyDescent="0.25">
      <c r="A62" s="3" t="s">
        <v>31</v>
      </c>
      <c r="B62" s="1">
        <v>530</v>
      </c>
      <c r="C62" s="1">
        <v>79</v>
      </c>
      <c r="D62" s="1">
        <v>83</v>
      </c>
      <c r="E62" s="1">
        <v>100</v>
      </c>
      <c r="F62" s="1">
        <v>85</v>
      </c>
      <c r="G62" s="1">
        <v>105</v>
      </c>
      <c r="H62" s="1">
        <v>78</v>
      </c>
    </row>
    <row r="63" spans="1:8" x14ac:dyDescent="0.25">
      <c r="A63" s="3" t="s">
        <v>310</v>
      </c>
      <c r="B63" s="1">
        <v>530</v>
      </c>
      <c r="C63" s="1">
        <v>80</v>
      </c>
      <c r="D63" s="1">
        <v>120</v>
      </c>
      <c r="E63" s="1">
        <v>70</v>
      </c>
      <c r="F63" s="1">
        <v>110</v>
      </c>
      <c r="G63" s="1">
        <v>70</v>
      </c>
      <c r="H63" s="1">
        <v>80</v>
      </c>
    </row>
    <row r="64" spans="1:8" x14ac:dyDescent="0.25">
      <c r="A64" s="3" t="s">
        <v>293</v>
      </c>
      <c r="B64" s="1">
        <v>540</v>
      </c>
      <c r="C64" s="1">
        <v>255</v>
      </c>
      <c r="D64" s="1">
        <v>10</v>
      </c>
      <c r="E64" s="1">
        <v>10</v>
      </c>
      <c r="F64" s="1">
        <v>75</v>
      </c>
      <c r="G64" s="1">
        <v>135</v>
      </c>
      <c r="H64" s="1">
        <v>55</v>
      </c>
    </row>
    <row r="65" spans="1:8" x14ac:dyDescent="0.25">
      <c r="A65" s="3" t="s">
        <v>613</v>
      </c>
      <c r="B65" s="1">
        <v>295</v>
      </c>
      <c r="C65" s="1">
        <v>45</v>
      </c>
      <c r="D65" s="1">
        <v>60</v>
      </c>
      <c r="E65" s="1">
        <v>32</v>
      </c>
      <c r="F65" s="1">
        <v>50</v>
      </c>
      <c r="G65" s="1">
        <v>32</v>
      </c>
      <c r="H65" s="1">
        <v>76</v>
      </c>
    </row>
    <row r="66" spans="1:8" x14ac:dyDescent="0.25">
      <c r="A66" s="3" t="s">
        <v>616</v>
      </c>
      <c r="B66" s="1">
        <v>390</v>
      </c>
      <c r="C66" s="1">
        <v>70</v>
      </c>
      <c r="D66" s="1">
        <v>105</v>
      </c>
      <c r="E66" s="1">
        <v>105</v>
      </c>
      <c r="F66" s="1">
        <v>50</v>
      </c>
      <c r="G66" s="1">
        <v>40</v>
      </c>
      <c r="H66" s="1">
        <v>20</v>
      </c>
    </row>
    <row r="67" spans="1:8" x14ac:dyDescent="0.25">
      <c r="A67" s="3" t="s">
        <v>518</v>
      </c>
      <c r="B67" s="1">
        <v>290</v>
      </c>
      <c r="C67" s="1">
        <v>50</v>
      </c>
      <c r="D67" s="1">
        <v>80</v>
      </c>
      <c r="E67" s="1">
        <v>95</v>
      </c>
      <c r="F67" s="1">
        <v>10</v>
      </c>
      <c r="G67" s="1">
        <v>45</v>
      </c>
      <c r="H67" s="1">
        <v>10</v>
      </c>
    </row>
    <row r="68" spans="1:8" x14ac:dyDescent="0.25">
      <c r="A68" s="3" t="s">
        <v>719</v>
      </c>
      <c r="B68" s="1">
        <v>490</v>
      </c>
      <c r="C68" s="1">
        <v>95</v>
      </c>
      <c r="D68" s="1">
        <v>110</v>
      </c>
      <c r="E68" s="1">
        <v>95</v>
      </c>
      <c r="F68" s="1">
        <v>40</v>
      </c>
      <c r="G68" s="1">
        <v>95</v>
      </c>
      <c r="H68" s="1">
        <v>55</v>
      </c>
    </row>
    <row r="69" spans="1:8" x14ac:dyDescent="0.25">
      <c r="A69" s="3" t="s">
        <v>754</v>
      </c>
      <c r="B69" s="1">
        <v>409</v>
      </c>
      <c r="C69" s="1">
        <v>59</v>
      </c>
      <c r="D69" s="1">
        <v>59</v>
      </c>
      <c r="E69" s="1">
        <v>58</v>
      </c>
      <c r="F69" s="1">
        <v>90</v>
      </c>
      <c r="G69" s="1">
        <v>70</v>
      </c>
      <c r="H69" s="1">
        <v>73</v>
      </c>
    </row>
    <row r="70" spans="1:8" x14ac:dyDescent="0.25">
      <c r="A70" s="3" t="s">
        <v>721</v>
      </c>
      <c r="B70" s="1">
        <v>510</v>
      </c>
      <c r="C70" s="1">
        <v>100</v>
      </c>
      <c r="D70" s="1">
        <v>123</v>
      </c>
      <c r="E70" s="1">
        <v>75</v>
      </c>
      <c r="F70" s="1">
        <v>57</v>
      </c>
      <c r="G70" s="1">
        <v>75</v>
      </c>
      <c r="H70" s="1">
        <v>80</v>
      </c>
    </row>
    <row r="71" spans="1:8" x14ac:dyDescent="0.25">
      <c r="A71" s="3" t="s">
        <v>342</v>
      </c>
      <c r="B71" s="1">
        <v>460</v>
      </c>
      <c r="C71" s="1">
        <v>60</v>
      </c>
      <c r="D71" s="1">
        <v>130</v>
      </c>
      <c r="E71" s="1">
        <v>80</v>
      </c>
      <c r="F71" s="1">
        <v>60</v>
      </c>
      <c r="G71" s="1">
        <v>60</v>
      </c>
      <c r="H71" s="1">
        <v>70</v>
      </c>
    </row>
    <row r="72" spans="1:8" x14ac:dyDescent="0.25">
      <c r="A72" s="3" t="s">
        <v>517</v>
      </c>
      <c r="B72" s="1">
        <v>500</v>
      </c>
      <c r="C72" s="1">
        <v>67</v>
      </c>
      <c r="D72" s="1">
        <v>89</v>
      </c>
      <c r="E72" s="1">
        <v>116</v>
      </c>
      <c r="F72" s="1">
        <v>79</v>
      </c>
      <c r="G72" s="1">
        <v>116</v>
      </c>
      <c r="H72" s="1">
        <v>33</v>
      </c>
    </row>
    <row r="73" spans="1:8" x14ac:dyDescent="0.25">
      <c r="A73" s="3" t="s">
        <v>516</v>
      </c>
      <c r="B73" s="1">
        <v>300</v>
      </c>
      <c r="C73" s="1">
        <v>57</v>
      </c>
      <c r="D73" s="1">
        <v>24</v>
      </c>
      <c r="E73" s="1">
        <v>86</v>
      </c>
      <c r="F73" s="1">
        <v>24</v>
      </c>
      <c r="G73" s="1">
        <v>86</v>
      </c>
      <c r="H73" s="1">
        <v>23</v>
      </c>
    </row>
    <row r="74" spans="1:8" x14ac:dyDescent="0.25">
      <c r="A74" s="3" t="s">
        <v>483</v>
      </c>
      <c r="B74" s="1">
        <v>280</v>
      </c>
      <c r="C74" s="1">
        <v>40</v>
      </c>
      <c r="D74" s="1">
        <v>30</v>
      </c>
      <c r="E74" s="1">
        <v>35</v>
      </c>
      <c r="F74" s="1">
        <v>50</v>
      </c>
      <c r="G74" s="1">
        <v>70</v>
      </c>
      <c r="H74" s="1">
        <v>55</v>
      </c>
    </row>
    <row r="75" spans="1:8" x14ac:dyDescent="0.25">
      <c r="A75" s="3" t="s">
        <v>497</v>
      </c>
      <c r="B75" s="1">
        <v>330</v>
      </c>
      <c r="C75" s="1">
        <v>55</v>
      </c>
      <c r="D75" s="1">
        <v>65</v>
      </c>
      <c r="E75" s="1">
        <v>35</v>
      </c>
      <c r="F75" s="1">
        <v>60</v>
      </c>
      <c r="G75" s="1">
        <v>30</v>
      </c>
      <c r="H75" s="1">
        <v>85</v>
      </c>
    </row>
    <row r="76" spans="1:8" x14ac:dyDescent="0.25">
      <c r="A76" s="3" t="s">
        <v>13</v>
      </c>
      <c r="B76" s="1">
        <v>318</v>
      </c>
      <c r="C76" s="1">
        <v>45</v>
      </c>
      <c r="D76" s="1">
        <v>49</v>
      </c>
      <c r="E76" s="1">
        <v>49</v>
      </c>
      <c r="F76" s="1">
        <v>65</v>
      </c>
      <c r="G76" s="1">
        <v>65</v>
      </c>
      <c r="H76" s="1">
        <v>45</v>
      </c>
    </row>
    <row r="77" spans="1:8" x14ac:dyDescent="0.25">
      <c r="A77" s="3" t="s">
        <v>506</v>
      </c>
      <c r="B77" s="1">
        <v>350</v>
      </c>
      <c r="C77" s="1">
        <v>55</v>
      </c>
      <c r="D77" s="1">
        <v>66</v>
      </c>
      <c r="E77" s="1">
        <v>44</v>
      </c>
      <c r="F77" s="1">
        <v>44</v>
      </c>
      <c r="G77" s="1">
        <v>56</v>
      </c>
      <c r="H77" s="1">
        <v>85</v>
      </c>
    </row>
    <row r="78" spans="1:8" x14ac:dyDescent="0.25">
      <c r="A78" s="3" t="s">
        <v>759</v>
      </c>
      <c r="B78" s="1">
        <v>237</v>
      </c>
      <c r="C78" s="1">
        <v>38</v>
      </c>
      <c r="D78" s="1">
        <v>36</v>
      </c>
      <c r="E78" s="1">
        <v>38</v>
      </c>
      <c r="F78" s="1">
        <v>32</v>
      </c>
      <c r="G78" s="1">
        <v>36</v>
      </c>
      <c r="H78" s="1">
        <v>57</v>
      </c>
    </row>
    <row r="79" spans="1:8" x14ac:dyDescent="0.25">
      <c r="A79" s="3" t="s">
        <v>489</v>
      </c>
      <c r="B79" s="1">
        <v>224</v>
      </c>
      <c r="C79" s="1">
        <v>40</v>
      </c>
      <c r="D79" s="1">
        <v>29</v>
      </c>
      <c r="E79" s="1">
        <v>45</v>
      </c>
      <c r="F79" s="1">
        <v>29</v>
      </c>
      <c r="G79" s="1">
        <v>45</v>
      </c>
      <c r="H79" s="1">
        <v>36</v>
      </c>
    </row>
    <row r="80" spans="1:8" x14ac:dyDescent="0.25">
      <c r="A80" s="3" t="s">
        <v>36</v>
      </c>
      <c r="B80" s="1">
        <v>395</v>
      </c>
      <c r="C80" s="1">
        <v>60</v>
      </c>
      <c r="D80" s="1">
        <v>45</v>
      </c>
      <c r="E80" s="1">
        <v>50</v>
      </c>
      <c r="F80" s="1">
        <v>90</v>
      </c>
      <c r="G80" s="1">
        <v>80</v>
      </c>
      <c r="H80" s="1">
        <v>70</v>
      </c>
    </row>
    <row r="81" spans="1:8" x14ac:dyDescent="0.25">
      <c r="A81" s="3" t="s">
        <v>394</v>
      </c>
      <c r="B81" s="1">
        <v>335</v>
      </c>
      <c r="C81" s="1">
        <v>50</v>
      </c>
      <c r="D81" s="1">
        <v>85</v>
      </c>
      <c r="E81" s="1">
        <v>40</v>
      </c>
      <c r="F81" s="1">
        <v>85</v>
      </c>
      <c r="G81" s="1">
        <v>40</v>
      </c>
      <c r="H81" s="1">
        <v>35</v>
      </c>
    </row>
    <row r="82" spans="1:8" x14ac:dyDescent="0.25">
      <c r="A82" s="3" t="s">
        <v>395</v>
      </c>
      <c r="B82" s="1">
        <v>475</v>
      </c>
      <c r="C82" s="1">
        <v>70</v>
      </c>
      <c r="D82" s="1">
        <v>115</v>
      </c>
      <c r="E82" s="1">
        <v>60</v>
      </c>
      <c r="F82" s="1">
        <v>115</v>
      </c>
      <c r="G82" s="1">
        <v>60</v>
      </c>
      <c r="H82" s="1">
        <v>55</v>
      </c>
    </row>
    <row r="83" spans="1:8" x14ac:dyDescent="0.25">
      <c r="A83" s="3" t="s">
        <v>386</v>
      </c>
      <c r="B83" s="1">
        <v>460</v>
      </c>
      <c r="C83" s="1">
        <v>70</v>
      </c>
      <c r="D83" s="1">
        <v>100</v>
      </c>
      <c r="E83" s="1">
        <v>70</v>
      </c>
      <c r="F83" s="1">
        <v>105</v>
      </c>
      <c r="G83" s="1">
        <v>75</v>
      </c>
      <c r="H83" s="1">
        <v>40</v>
      </c>
    </row>
    <row r="84" spans="1:8" x14ac:dyDescent="0.25">
      <c r="A84" s="3" t="s">
        <v>805</v>
      </c>
      <c r="B84" s="1">
        <v>500</v>
      </c>
      <c r="C84" s="1">
        <v>50</v>
      </c>
      <c r="D84" s="1">
        <v>50</v>
      </c>
      <c r="E84" s="1">
        <v>150</v>
      </c>
      <c r="F84" s="1">
        <v>50</v>
      </c>
      <c r="G84" s="1">
        <v>150</v>
      </c>
      <c r="H84" s="1">
        <v>50</v>
      </c>
    </row>
    <row r="85" spans="1:8" x14ac:dyDescent="0.25">
      <c r="A85" s="3" t="s">
        <v>537</v>
      </c>
      <c r="B85" s="1">
        <v>454</v>
      </c>
      <c r="C85" s="1">
        <v>74</v>
      </c>
      <c r="D85" s="1">
        <v>100</v>
      </c>
      <c r="E85" s="1">
        <v>72</v>
      </c>
      <c r="F85" s="1">
        <v>90</v>
      </c>
      <c r="G85" s="1">
        <v>72</v>
      </c>
      <c r="H85" s="1">
        <v>46</v>
      </c>
    </row>
    <row r="86" spans="1:8" x14ac:dyDescent="0.25">
      <c r="A86" s="3" t="s">
        <v>658</v>
      </c>
      <c r="B86" s="1">
        <v>495</v>
      </c>
      <c r="C86" s="1">
        <v>74</v>
      </c>
      <c r="D86" s="1">
        <v>108</v>
      </c>
      <c r="E86" s="1">
        <v>133</v>
      </c>
      <c r="F86" s="1">
        <v>83</v>
      </c>
      <c r="G86" s="1">
        <v>65</v>
      </c>
      <c r="H86" s="1">
        <v>32</v>
      </c>
    </row>
    <row r="87" spans="1:8" x14ac:dyDescent="0.25">
      <c r="A87" s="3" t="s">
        <v>379</v>
      </c>
      <c r="B87" s="1">
        <v>305</v>
      </c>
      <c r="C87" s="1">
        <v>45</v>
      </c>
      <c r="D87" s="1">
        <v>90</v>
      </c>
      <c r="E87" s="1">
        <v>20</v>
      </c>
      <c r="F87" s="1">
        <v>65</v>
      </c>
      <c r="G87" s="1">
        <v>20</v>
      </c>
      <c r="H87" s="1">
        <v>65</v>
      </c>
    </row>
    <row r="88" spans="1:8" x14ac:dyDescent="0.25">
      <c r="A88" s="3" t="s">
        <v>323</v>
      </c>
      <c r="B88" s="1">
        <v>205</v>
      </c>
      <c r="C88" s="1">
        <v>50</v>
      </c>
      <c r="D88" s="1">
        <v>35</v>
      </c>
      <c r="E88" s="1">
        <v>55</v>
      </c>
      <c r="F88" s="1">
        <v>25</v>
      </c>
      <c r="G88" s="1">
        <v>25</v>
      </c>
      <c r="H88" s="1">
        <v>15</v>
      </c>
    </row>
    <row r="89" spans="1:8" x14ac:dyDescent="0.25">
      <c r="A89" s="3" t="s">
        <v>415</v>
      </c>
      <c r="B89" s="1">
        <v>420</v>
      </c>
      <c r="C89" s="1">
        <v>70</v>
      </c>
      <c r="D89" s="1">
        <v>70</v>
      </c>
      <c r="E89" s="1">
        <v>70</v>
      </c>
      <c r="F89" s="1">
        <v>70</v>
      </c>
      <c r="G89" s="1">
        <v>70</v>
      </c>
      <c r="H89" s="1">
        <v>70</v>
      </c>
    </row>
    <row r="90" spans="1:8" x14ac:dyDescent="0.25">
      <c r="A90" s="3" t="s">
        <v>33</v>
      </c>
      <c r="B90" s="1">
        <v>195</v>
      </c>
      <c r="C90" s="1">
        <v>45</v>
      </c>
      <c r="D90" s="1">
        <v>30</v>
      </c>
      <c r="E90" s="1">
        <v>35</v>
      </c>
      <c r="F90" s="1">
        <v>20</v>
      </c>
      <c r="G90" s="1">
        <v>20</v>
      </c>
      <c r="H90" s="1">
        <v>45</v>
      </c>
    </row>
    <row r="91" spans="1:8" x14ac:dyDescent="0.25">
      <c r="A91" s="3" t="s">
        <v>303</v>
      </c>
      <c r="B91" s="1">
        <v>600</v>
      </c>
      <c r="C91" s="1">
        <v>100</v>
      </c>
      <c r="D91" s="1">
        <v>100</v>
      </c>
      <c r="E91" s="1">
        <v>100</v>
      </c>
      <c r="F91" s="1">
        <v>100</v>
      </c>
      <c r="G91" s="1">
        <v>100</v>
      </c>
      <c r="H91" s="1">
        <v>100</v>
      </c>
    </row>
    <row r="92" spans="1:8" x14ac:dyDescent="0.25">
      <c r="A92" s="3" t="s">
        <v>702</v>
      </c>
      <c r="B92" s="1">
        <v>520</v>
      </c>
      <c r="C92" s="1">
        <v>60</v>
      </c>
      <c r="D92" s="1">
        <v>55</v>
      </c>
      <c r="E92" s="1">
        <v>90</v>
      </c>
      <c r="F92" s="1">
        <v>145</v>
      </c>
      <c r="G92" s="1">
        <v>90</v>
      </c>
      <c r="H92" s="1">
        <v>80</v>
      </c>
    </row>
    <row r="93" spans="1:8" x14ac:dyDescent="0.25">
      <c r="A93" s="3" t="s">
        <v>152</v>
      </c>
      <c r="B93" s="1">
        <v>450</v>
      </c>
      <c r="C93" s="1">
        <v>250</v>
      </c>
      <c r="D93" s="1">
        <v>5</v>
      </c>
      <c r="E93" s="1">
        <v>5</v>
      </c>
      <c r="F93" s="1">
        <v>35</v>
      </c>
      <c r="G93" s="1">
        <v>105</v>
      </c>
      <c r="H93" s="1">
        <v>50</v>
      </c>
    </row>
    <row r="94" spans="1:8" x14ac:dyDescent="0.25">
      <c r="A94" s="3" t="s">
        <v>23</v>
      </c>
      <c r="B94" s="1">
        <v>534</v>
      </c>
      <c r="C94" s="1">
        <v>78</v>
      </c>
      <c r="D94" s="1">
        <v>84</v>
      </c>
      <c r="E94" s="1">
        <v>78</v>
      </c>
      <c r="F94" s="1">
        <v>109</v>
      </c>
      <c r="G94" s="1">
        <v>85</v>
      </c>
      <c r="H94" s="1">
        <v>100</v>
      </c>
    </row>
    <row r="95" spans="1:8" x14ac:dyDescent="0.25">
      <c r="A95" s="3" t="s">
        <v>19</v>
      </c>
      <c r="B95" s="1">
        <v>309</v>
      </c>
      <c r="C95" s="1">
        <v>39</v>
      </c>
      <c r="D95" s="1">
        <v>52</v>
      </c>
      <c r="E95" s="1">
        <v>43</v>
      </c>
      <c r="F95" s="1">
        <v>60</v>
      </c>
      <c r="G95" s="1">
        <v>50</v>
      </c>
      <c r="H95" s="1">
        <v>65</v>
      </c>
    </row>
    <row r="96" spans="1:8" x14ac:dyDescent="0.25">
      <c r="A96" s="3" t="s">
        <v>22</v>
      </c>
      <c r="B96" s="1">
        <v>405</v>
      </c>
      <c r="C96" s="1">
        <v>58</v>
      </c>
      <c r="D96" s="1">
        <v>64</v>
      </c>
      <c r="E96" s="1">
        <v>58</v>
      </c>
      <c r="F96" s="1">
        <v>80</v>
      </c>
      <c r="G96" s="1">
        <v>65</v>
      </c>
      <c r="H96" s="1">
        <v>80</v>
      </c>
    </row>
    <row r="97" spans="1:8" x14ac:dyDescent="0.25">
      <c r="A97" s="3" t="s">
        <v>521</v>
      </c>
      <c r="B97" s="1">
        <v>411</v>
      </c>
      <c r="C97" s="1">
        <v>76</v>
      </c>
      <c r="D97" s="1">
        <v>65</v>
      </c>
      <c r="E97" s="1">
        <v>45</v>
      </c>
      <c r="F97" s="1">
        <v>92</v>
      </c>
      <c r="G97" s="1">
        <v>42</v>
      </c>
      <c r="H97" s="1">
        <v>91</v>
      </c>
    </row>
    <row r="98" spans="1:8" x14ac:dyDescent="0.25">
      <c r="A98" s="3" t="s">
        <v>500</v>
      </c>
      <c r="B98" s="1">
        <v>450</v>
      </c>
      <c r="C98" s="1">
        <v>70</v>
      </c>
      <c r="D98" s="1">
        <v>60</v>
      </c>
      <c r="E98" s="1">
        <v>70</v>
      </c>
      <c r="F98" s="1">
        <v>87</v>
      </c>
      <c r="G98" s="1">
        <v>78</v>
      </c>
      <c r="H98" s="1">
        <v>85</v>
      </c>
    </row>
    <row r="99" spans="1:8" x14ac:dyDescent="0.25">
      <c r="A99" s="3" t="s">
        <v>499</v>
      </c>
      <c r="B99" s="1">
        <v>275</v>
      </c>
      <c r="C99" s="1">
        <v>45</v>
      </c>
      <c r="D99" s="1">
        <v>35</v>
      </c>
      <c r="E99" s="1">
        <v>45</v>
      </c>
      <c r="F99" s="1">
        <v>62</v>
      </c>
      <c r="G99" s="1">
        <v>53</v>
      </c>
      <c r="H99" s="1">
        <v>35</v>
      </c>
    </row>
    <row r="100" spans="1:8" x14ac:dyDescent="0.25">
      <c r="A100" s="3" t="s">
        <v>752</v>
      </c>
      <c r="B100" s="1">
        <v>530</v>
      </c>
      <c r="C100" s="1">
        <v>88</v>
      </c>
      <c r="D100" s="1">
        <v>107</v>
      </c>
      <c r="E100" s="1">
        <v>122</v>
      </c>
      <c r="F100" s="1">
        <v>74</v>
      </c>
      <c r="G100" s="1">
        <v>75</v>
      </c>
      <c r="H100" s="1">
        <v>64</v>
      </c>
    </row>
    <row r="101" spans="1:8" x14ac:dyDescent="0.25">
      <c r="A101" s="3" t="s">
        <v>750</v>
      </c>
      <c r="B101" s="1">
        <v>313</v>
      </c>
      <c r="C101" s="1">
        <v>56</v>
      </c>
      <c r="D101" s="1">
        <v>61</v>
      </c>
      <c r="E101" s="1">
        <v>65</v>
      </c>
      <c r="F101" s="1">
        <v>48</v>
      </c>
      <c r="G101" s="1">
        <v>45</v>
      </c>
      <c r="H101" s="1">
        <v>38</v>
      </c>
    </row>
    <row r="102" spans="1:8" x14ac:dyDescent="0.25">
      <c r="A102" s="3" t="s">
        <v>198</v>
      </c>
      <c r="B102" s="1">
        <v>318</v>
      </c>
      <c r="C102" s="1">
        <v>45</v>
      </c>
      <c r="D102" s="1">
        <v>49</v>
      </c>
      <c r="E102" s="1">
        <v>65</v>
      </c>
      <c r="F102" s="1">
        <v>49</v>
      </c>
      <c r="G102" s="1">
        <v>65</v>
      </c>
      <c r="H102" s="1">
        <v>45</v>
      </c>
    </row>
    <row r="103" spans="1:8" x14ac:dyDescent="0.25">
      <c r="A103" s="3" t="s">
        <v>467</v>
      </c>
      <c r="B103" s="1">
        <v>309</v>
      </c>
      <c r="C103" s="1">
        <v>44</v>
      </c>
      <c r="D103" s="1">
        <v>58</v>
      </c>
      <c r="E103" s="1">
        <v>44</v>
      </c>
      <c r="F103" s="1">
        <v>58</v>
      </c>
      <c r="G103" s="1">
        <v>44</v>
      </c>
      <c r="H103" s="1">
        <v>61</v>
      </c>
    </row>
    <row r="104" spans="1:8" x14ac:dyDescent="0.25">
      <c r="A104" s="3" t="s">
        <v>423</v>
      </c>
      <c r="B104" s="1">
        <v>425</v>
      </c>
      <c r="C104" s="1">
        <v>65</v>
      </c>
      <c r="D104" s="1">
        <v>50</v>
      </c>
      <c r="E104" s="1">
        <v>70</v>
      </c>
      <c r="F104" s="1">
        <v>95</v>
      </c>
      <c r="G104" s="1">
        <v>80</v>
      </c>
      <c r="H104" s="1">
        <v>65</v>
      </c>
    </row>
    <row r="105" spans="1:8" x14ac:dyDescent="0.25">
      <c r="A105" s="3" t="s">
        <v>216</v>
      </c>
      <c r="B105" s="1">
        <v>330</v>
      </c>
      <c r="C105" s="1">
        <v>75</v>
      </c>
      <c r="D105" s="1">
        <v>38</v>
      </c>
      <c r="E105" s="1">
        <v>38</v>
      </c>
      <c r="F105" s="1">
        <v>56</v>
      </c>
      <c r="G105" s="1">
        <v>56</v>
      </c>
      <c r="H105" s="1">
        <v>67</v>
      </c>
    </row>
    <row r="106" spans="1:8" x14ac:dyDescent="0.25">
      <c r="A106" s="3" t="s">
        <v>513</v>
      </c>
      <c r="B106" s="1">
        <v>285</v>
      </c>
      <c r="C106" s="1">
        <v>45</v>
      </c>
      <c r="D106" s="1">
        <v>30</v>
      </c>
      <c r="E106" s="1">
        <v>50</v>
      </c>
      <c r="F106" s="1">
        <v>65</v>
      </c>
      <c r="G106" s="1">
        <v>50</v>
      </c>
      <c r="H106" s="1">
        <v>45</v>
      </c>
    </row>
    <row r="107" spans="1:8" x14ac:dyDescent="0.25">
      <c r="A107" s="3" t="s">
        <v>666</v>
      </c>
      <c r="B107" s="1">
        <v>470</v>
      </c>
      <c r="C107" s="1">
        <v>75</v>
      </c>
      <c r="D107" s="1">
        <v>95</v>
      </c>
      <c r="E107" s="1">
        <v>60</v>
      </c>
      <c r="F107" s="1">
        <v>65</v>
      </c>
      <c r="G107" s="1">
        <v>60</v>
      </c>
      <c r="H107" s="1">
        <v>115</v>
      </c>
    </row>
    <row r="108" spans="1:8" x14ac:dyDescent="0.25">
      <c r="A108" s="3" t="s">
        <v>433</v>
      </c>
      <c r="B108" s="1">
        <v>345</v>
      </c>
      <c r="C108" s="1">
        <v>35</v>
      </c>
      <c r="D108" s="1">
        <v>64</v>
      </c>
      <c r="E108" s="1">
        <v>85</v>
      </c>
      <c r="F108" s="1">
        <v>74</v>
      </c>
      <c r="G108" s="1">
        <v>55</v>
      </c>
      <c r="H108" s="1">
        <v>32</v>
      </c>
    </row>
    <row r="109" spans="1:8" x14ac:dyDescent="0.25">
      <c r="A109" s="3" t="s">
        <v>794</v>
      </c>
      <c r="B109" s="1">
        <v>330</v>
      </c>
      <c r="C109" s="1">
        <v>50</v>
      </c>
      <c r="D109" s="1">
        <v>53</v>
      </c>
      <c r="E109" s="1">
        <v>62</v>
      </c>
      <c r="F109" s="1">
        <v>58</v>
      </c>
      <c r="G109" s="1">
        <v>63</v>
      </c>
      <c r="H109" s="1">
        <v>44</v>
      </c>
    </row>
    <row r="110" spans="1:8" x14ac:dyDescent="0.25">
      <c r="A110" s="3" t="s">
        <v>795</v>
      </c>
      <c r="B110" s="1">
        <v>500</v>
      </c>
      <c r="C110" s="1">
        <v>71</v>
      </c>
      <c r="D110" s="1">
        <v>73</v>
      </c>
      <c r="E110" s="1">
        <v>88</v>
      </c>
      <c r="F110" s="1">
        <v>120</v>
      </c>
      <c r="G110" s="1">
        <v>89</v>
      </c>
      <c r="H110" s="1">
        <v>59</v>
      </c>
    </row>
    <row r="111" spans="1:8" x14ac:dyDescent="0.25">
      <c r="A111" s="3" t="s">
        <v>408</v>
      </c>
      <c r="B111" s="1">
        <v>500</v>
      </c>
      <c r="C111" s="1">
        <v>60</v>
      </c>
      <c r="D111" s="1">
        <v>70</v>
      </c>
      <c r="E111" s="1">
        <v>105</v>
      </c>
      <c r="F111" s="1">
        <v>70</v>
      </c>
      <c r="G111" s="1">
        <v>120</v>
      </c>
      <c r="H111" s="1">
        <v>75</v>
      </c>
    </row>
    <row r="112" spans="1:8" x14ac:dyDescent="0.25">
      <c r="A112" s="3" t="s">
        <v>66</v>
      </c>
      <c r="B112" s="1">
        <v>483</v>
      </c>
      <c r="C112" s="1">
        <v>95</v>
      </c>
      <c r="D112" s="1">
        <v>70</v>
      </c>
      <c r="E112" s="1">
        <v>73</v>
      </c>
      <c r="F112" s="1">
        <v>95</v>
      </c>
      <c r="G112" s="1">
        <v>90</v>
      </c>
      <c r="H112" s="1">
        <v>60</v>
      </c>
    </row>
    <row r="113" spans="1:8" x14ac:dyDescent="0.25">
      <c r="A113" s="3" t="s">
        <v>64</v>
      </c>
      <c r="B113" s="1">
        <v>323</v>
      </c>
      <c r="C113" s="1">
        <v>70</v>
      </c>
      <c r="D113" s="1">
        <v>45</v>
      </c>
      <c r="E113" s="1">
        <v>48</v>
      </c>
      <c r="F113" s="1">
        <v>60</v>
      </c>
      <c r="G113" s="1">
        <v>65</v>
      </c>
      <c r="H113" s="1">
        <v>35</v>
      </c>
    </row>
    <row r="114" spans="1:8" x14ac:dyDescent="0.25">
      <c r="A114" s="3" t="s">
        <v>219</v>
      </c>
      <c r="B114" s="1">
        <v>218</v>
      </c>
      <c r="C114" s="1">
        <v>50</v>
      </c>
      <c r="D114" s="1">
        <v>25</v>
      </c>
      <c r="E114" s="1">
        <v>28</v>
      </c>
      <c r="F114" s="1">
        <v>45</v>
      </c>
      <c r="G114" s="1">
        <v>55</v>
      </c>
      <c r="H114" s="1">
        <v>15</v>
      </c>
    </row>
    <row r="115" spans="1:8" x14ac:dyDescent="0.25">
      <c r="A115" s="3" t="s">
        <v>128</v>
      </c>
      <c r="B115" s="1">
        <v>525</v>
      </c>
      <c r="C115" s="1">
        <v>50</v>
      </c>
      <c r="D115" s="1">
        <v>95</v>
      </c>
      <c r="E115" s="1">
        <v>180</v>
      </c>
      <c r="F115" s="1">
        <v>85</v>
      </c>
      <c r="G115" s="1">
        <v>45</v>
      </c>
      <c r="H115" s="1">
        <v>70</v>
      </c>
    </row>
    <row r="116" spans="1:8" x14ac:dyDescent="0.25">
      <c r="A116" s="3" t="s">
        <v>731</v>
      </c>
      <c r="B116" s="1">
        <v>580</v>
      </c>
      <c r="C116" s="1">
        <v>91</v>
      </c>
      <c r="D116" s="1">
        <v>90</v>
      </c>
      <c r="E116" s="1">
        <v>129</v>
      </c>
      <c r="F116" s="1">
        <v>90</v>
      </c>
      <c r="G116" s="1">
        <v>72</v>
      </c>
      <c r="H116" s="1">
        <v>108</v>
      </c>
    </row>
    <row r="117" spans="1:8" x14ac:dyDescent="0.25">
      <c r="A117" s="3" t="s">
        <v>656</v>
      </c>
      <c r="B117" s="1">
        <v>483</v>
      </c>
      <c r="C117" s="1">
        <v>58</v>
      </c>
      <c r="D117" s="1">
        <v>50</v>
      </c>
      <c r="E117" s="1">
        <v>145</v>
      </c>
      <c r="F117" s="1">
        <v>95</v>
      </c>
      <c r="G117" s="1">
        <v>105</v>
      </c>
      <c r="H117" s="1">
        <v>30</v>
      </c>
    </row>
    <row r="118" spans="1:8" x14ac:dyDescent="0.25">
      <c r="A118" s="3" t="s">
        <v>494</v>
      </c>
      <c r="B118" s="1">
        <v>244</v>
      </c>
      <c r="C118" s="1">
        <v>30</v>
      </c>
      <c r="D118" s="1">
        <v>30</v>
      </c>
      <c r="E118" s="1">
        <v>42</v>
      </c>
      <c r="F118" s="1">
        <v>30</v>
      </c>
      <c r="G118" s="1">
        <v>42</v>
      </c>
      <c r="H118" s="1">
        <v>70</v>
      </c>
    </row>
    <row r="119" spans="1:8" x14ac:dyDescent="0.25">
      <c r="A119" s="3" t="s">
        <v>309</v>
      </c>
      <c r="B119" s="1">
        <v>405</v>
      </c>
      <c r="C119" s="1">
        <v>60</v>
      </c>
      <c r="D119" s="1">
        <v>85</v>
      </c>
      <c r="E119" s="1">
        <v>60</v>
      </c>
      <c r="F119" s="1">
        <v>85</v>
      </c>
      <c r="G119" s="1">
        <v>60</v>
      </c>
      <c r="H119" s="1">
        <v>55</v>
      </c>
    </row>
    <row r="120" spans="1:8" x14ac:dyDescent="0.25">
      <c r="A120" s="3" t="s">
        <v>626</v>
      </c>
      <c r="B120" s="1">
        <v>505</v>
      </c>
      <c r="C120" s="1">
        <v>105</v>
      </c>
      <c r="D120" s="1">
        <v>140</v>
      </c>
      <c r="E120" s="1">
        <v>95</v>
      </c>
      <c r="F120" s="1">
        <v>55</v>
      </c>
      <c r="G120" s="1">
        <v>65</v>
      </c>
      <c r="H120" s="1">
        <v>45</v>
      </c>
    </row>
    <row r="121" spans="1:8" x14ac:dyDescent="0.25">
      <c r="A121" s="3" t="s">
        <v>405</v>
      </c>
      <c r="B121" s="1">
        <v>308</v>
      </c>
      <c r="C121" s="1">
        <v>43</v>
      </c>
      <c r="D121" s="1">
        <v>80</v>
      </c>
      <c r="E121" s="1">
        <v>65</v>
      </c>
      <c r="F121" s="1">
        <v>50</v>
      </c>
      <c r="G121" s="1">
        <v>35</v>
      </c>
      <c r="H121" s="1">
        <v>35</v>
      </c>
    </row>
    <row r="122" spans="1:8" x14ac:dyDescent="0.25">
      <c r="A122" s="3" t="s">
        <v>272</v>
      </c>
      <c r="B122" s="1">
        <v>380</v>
      </c>
      <c r="C122" s="1">
        <v>55</v>
      </c>
      <c r="D122" s="1">
        <v>55</v>
      </c>
      <c r="E122" s="1">
        <v>85</v>
      </c>
      <c r="F122" s="1">
        <v>65</v>
      </c>
      <c r="G122" s="1">
        <v>85</v>
      </c>
      <c r="H122" s="1">
        <v>35</v>
      </c>
    </row>
    <row r="123" spans="1:8" x14ac:dyDescent="0.25">
      <c r="A123" s="3" t="s">
        <v>638</v>
      </c>
      <c r="B123" s="1">
        <v>280</v>
      </c>
      <c r="C123" s="1">
        <v>40</v>
      </c>
      <c r="D123" s="1">
        <v>27</v>
      </c>
      <c r="E123" s="1">
        <v>60</v>
      </c>
      <c r="F123" s="1">
        <v>37</v>
      </c>
      <c r="G123" s="1">
        <v>50</v>
      </c>
      <c r="H123" s="1">
        <v>66</v>
      </c>
    </row>
    <row r="124" spans="1:8" x14ac:dyDescent="0.25">
      <c r="A124" s="3" t="s">
        <v>410</v>
      </c>
      <c r="B124" s="1">
        <v>495</v>
      </c>
      <c r="C124" s="1">
        <v>86</v>
      </c>
      <c r="D124" s="1">
        <v>81</v>
      </c>
      <c r="E124" s="1">
        <v>97</v>
      </c>
      <c r="F124" s="1">
        <v>81</v>
      </c>
      <c r="G124" s="1">
        <v>107</v>
      </c>
      <c r="H124" s="1">
        <v>43</v>
      </c>
    </row>
    <row r="125" spans="1:8" x14ac:dyDescent="0.25">
      <c r="A125" s="3" t="s">
        <v>485</v>
      </c>
      <c r="B125" s="1">
        <v>350</v>
      </c>
      <c r="C125" s="1">
        <v>67</v>
      </c>
      <c r="D125" s="1">
        <v>125</v>
      </c>
      <c r="E125" s="1">
        <v>40</v>
      </c>
      <c r="F125" s="1">
        <v>30</v>
      </c>
      <c r="G125" s="1">
        <v>30</v>
      </c>
      <c r="H125" s="1">
        <v>58</v>
      </c>
    </row>
    <row r="126" spans="1:8" x14ac:dyDescent="0.25">
      <c r="A126" s="3" t="s">
        <v>406</v>
      </c>
      <c r="B126" s="1">
        <v>468</v>
      </c>
      <c r="C126" s="1">
        <v>63</v>
      </c>
      <c r="D126" s="1">
        <v>120</v>
      </c>
      <c r="E126" s="1">
        <v>85</v>
      </c>
      <c r="F126" s="1">
        <v>90</v>
      </c>
      <c r="G126" s="1">
        <v>55</v>
      </c>
      <c r="H126" s="1">
        <v>55</v>
      </c>
    </row>
    <row r="127" spans="1:8" x14ac:dyDescent="0.25">
      <c r="A127" s="3" t="s">
        <v>578</v>
      </c>
      <c r="B127" s="1">
        <v>600</v>
      </c>
      <c r="C127" s="1">
        <v>120</v>
      </c>
      <c r="D127" s="1">
        <v>70</v>
      </c>
      <c r="E127" s="1">
        <v>120</v>
      </c>
      <c r="F127" s="1">
        <v>75</v>
      </c>
      <c r="G127" s="1">
        <v>130</v>
      </c>
      <c r="H127" s="1">
        <v>85</v>
      </c>
    </row>
    <row r="128" spans="1:8" x14ac:dyDescent="0.25">
      <c r="A128" s="3" t="s">
        <v>535</v>
      </c>
      <c r="B128" s="1">
        <v>300</v>
      </c>
      <c r="C128" s="1">
        <v>48</v>
      </c>
      <c r="D128" s="1">
        <v>61</v>
      </c>
      <c r="E128" s="1">
        <v>40</v>
      </c>
      <c r="F128" s="1">
        <v>61</v>
      </c>
      <c r="G128" s="1">
        <v>40</v>
      </c>
      <c r="H128" s="1">
        <v>50</v>
      </c>
    </row>
    <row r="129" spans="1:8" x14ac:dyDescent="0.25">
      <c r="A129" s="3" t="s">
        <v>215</v>
      </c>
      <c r="B129" s="1">
        <v>535</v>
      </c>
      <c r="C129" s="1">
        <v>85</v>
      </c>
      <c r="D129" s="1">
        <v>90</v>
      </c>
      <c r="E129" s="1">
        <v>80</v>
      </c>
      <c r="F129" s="1">
        <v>70</v>
      </c>
      <c r="G129" s="1">
        <v>80</v>
      </c>
      <c r="H129" s="1">
        <v>130</v>
      </c>
    </row>
    <row r="130" spans="1:8" x14ac:dyDescent="0.25">
      <c r="A130" s="3" t="s">
        <v>205</v>
      </c>
      <c r="B130" s="1">
        <v>405</v>
      </c>
      <c r="C130" s="1">
        <v>65</v>
      </c>
      <c r="D130" s="1">
        <v>80</v>
      </c>
      <c r="E130" s="1">
        <v>80</v>
      </c>
      <c r="F130" s="1">
        <v>59</v>
      </c>
      <c r="G130" s="1">
        <v>63</v>
      </c>
      <c r="H130" s="1">
        <v>58</v>
      </c>
    </row>
    <row r="131" spans="1:8" x14ac:dyDescent="0.25">
      <c r="A131" s="3" t="s">
        <v>651</v>
      </c>
      <c r="B131" s="1">
        <v>475</v>
      </c>
      <c r="C131" s="1">
        <v>70</v>
      </c>
      <c r="D131" s="1">
        <v>95</v>
      </c>
      <c r="E131" s="1">
        <v>125</v>
      </c>
      <c r="F131" s="1">
        <v>65</v>
      </c>
      <c r="G131" s="1">
        <v>75</v>
      </c>
      <c r="H131" s="1">
        <v>45</v>
      </c>
    </row>
    <row r="132" spans="1:8" x14ac:dyDescent="0.25">
      <c r="A132" s="3" t="s">
        <v>708</v>
      </c>
      <c r="B132" s="1">
        <v>485</v>
      </c>
      <c r="C132" s="1">
        <v>70</v>
      </c>
      <c r="D132" s="1">
        <v>50</v>
      </c>
      <c r="E132" s="1">
        <v>30</v>
      </c>
      <c r="F132" s="1">
        <v>95</v>
      </c>
      <c r="G132" s="1">
        <v>135</v>
      </c>
      <c r="H132" s="1">
        <v>105</v>
      </c>
    </row>
    <row r="133" spans="1:8" x14ac:dyDescent="0.25">
      <c r="A133" s="3" t="s">
        <v>706</v>
      </c>
      <c r="B133" s="1">
        <v>305</v>
      </c>
      <c r="C133" s="1">
        <v>55</v>
      </c>
      <c r="D133" s="1">
        <v>70</v>
      </c>
      <c r="E133" s="1">
        <v>40</v>
      </c>
      <c r="F133" s="1">
        <v>60</v>
      </c>
      <c r="G133" s="1">
        <v>40</v>
      </c>
      <c r="H133" s="1">
        <v>40</v>
      </c>
    </row>
    <row r="134" spans="1:8" x14ac:dyDescent="0.25">
      <c r="A134" s="3" t="s">
        <v>143</v>
      </c>
      <c r="B134" s="1">
        <v>320</v>
      </c>
      <c r="C134" s="1">
        <v>50</v>
      </c>
      <c r="D134" s="1">
        <v>50</v>
      </c>
      <c r="E134" s="1">
        <v>95</v>
      </c>
      <c r="F134" s="1">
        <v>40</v>
      </c>
      <c r="G134" s="1">
        <v>50</v>
      </c>
      <c r="H134" s="1">
        <v>35</v>
      </c>
    </row>
    <row r="135" spans="1:8" x14ac:dyDescent="0.25">
      <c r="A135" s="3" t="s">
        <v>201</v>
      </c>
      <c r="B135" s="1">
        <v>309</v>
      </c>
      <c r="C135" s="1">
        <v>39</v>
      </c>
      <c r="D135" s="1">
        <v>52</v>
      </c>
      <c r="E135" s="1">
        <v>43</v>
      </c>
      <c r="F135" s="1">
        <v>60</v>
      </c>
      <c r="G135" s="1">
        <v>50</v>
      </c>
      <c r="H135" s="1">
        <v>65</v>
      </c>
    </row>
    <row r="136" spans="1:8" x14ac:dyDescent="0.25">
      <c r="A136" s="3" t="s">
        <v>581</v>
      </c>
      <c r="B136" s="1">
        <v>600</v>
      </c>
      <c r="C136" s="1">
        <v>70</v>
      </c>
      <c r="D136" s="1">
        <v>90</v>
      </c>
      <c r="E136" s="1">
        <v>90</v>
      </c>
      <c r="F136" s="1">
        <v>135</v>
      </c>
      <c r="G136" s="1">
        <v>90</v>
      </c>
      <c r="H136" s="1">
        <v>125</v>
      </c>
    </row>
    <row r="137" spans="1:8" x14ac:dyDescent="0.25">
      <c r="A137" s="3" t="s">
        <v>647</v>
      </c>
      <c r="B137" s="1">
        <v>480</v>
      </c>
      <c r="C137" s="1">
        <v>105</v>
      </c>
      <c r="D137" s="1">
        <v>140</v>
      </c>
      <c r="E137" s="1">
        <v>55</v>
      </c>
      <c r="F137" s="1">
        <v>30</v>
      </c>
      <c r="G137" s="1">
        <v>55</v>
      </c>
      <c r="H137" s="1">
        <v>95</v>
      </c>
    </row>
    <row r="138" spans="1:8" x14ac:dyDescent="0.25">
      <c r="A138" s="3" t="s">
        <v>648</v>
      </c>
      <c r="B138" s="1">
        <v>540</v>
      </c>
      <c r="C138" s="1">
        <v>105</v>
      </c>
      <c r="D138" s="1">
        <v>30</v>
      </c>
      <c r="E138" s="1">
        <v>105</v>
      </c>
      <c r="F138" s="1">
        <v>140</v>
      </c>
      <c r="G138" s="1">
        <v>105</v>
      </c>
      <c r="H138" s="1">
        <v>55</v>
      </c>
    </row>
    <row r="139" spans="1:8" x14ac:dyDescent="0.25">
      <c r="A139" s="3" t="s">
        <v>646</v>
      </c>
      <c r="B139" s="1">
        <v>315</v>
      </c>
      <c r="C139" s="1">
        <v>70</v>
      </c>
      <c r="D139" s="1">
        <v>90</v>
      </c>
      <c r="E139" s="1">
        <v>45</v>
      </c>
      <c r="F139" s="1">
        <v>15</v>
      </c>
      <c r="G139" s="1">
        <v>45</v>
      </c>
      <c r="H139" s="1">
        <v>50</v>
      </c>
    </row>
    <row r="140" spans="1:8" x14ac:dyDescent="0.25">
      <c r="A140" s="3" t="s">
        <v>804</v>
      </c>
      <c r="B140" s="1">
        <v>431</v>
      </c>
      <c r="C140" s="1">
        <v>67</v>
      </c>
      <c r="D140" s="1">
        <v>58</v>
      </c>
      <c r="E140" s="1">
        <v>57</v>
      </c>
      <c r="F140" s="1">
        <v>81</v>
      </c>
      <c r="G140" s="1">
        <v>67</v>
      </c>
      <c r="H140" s="1">
        <v>101</v>
      </c>
    </row>
    <row r="141" spans="1:8" x14ac:dyDescent="0.25">
      <c r="A141" s="3" t="s">
        <v>678</v>
      </c>
      <c r="B141" s="1">
        <v>335</v>
      </c>
      <c r="C141" s="1">
        <v>60</v>
      </c>
      <c r="D141" s="1">
        <v>60</v>
      </c>
      <c r="E141" s="1">
        <v>50</v>
      </c>
      <c r="F141" s="1">
        <v>40</v>
      </c>
      <c r="G141" s="1">
        <v>50</v>
      </c>
      <c r="H141" s="1">
        <v>75</v>
      </c>
    </row>
    <row r="142" spans="1:8" x14ac:dyDescent="0.25">
      <c r="A142" s="3" t="s">
        <v>726</v>
      </c>
      <c r="B142" s="1">
        <v>300</v>
      </c>
      <c r="C142" s="1">
        <v>52</v>
      </c>
      <c r="D142" s="1">
        <v>65</v>
      </c>
      <c r="E142" s="1">
        <v>50</v>
      </c>
      <c r="F142" s="1">
        <v>45</v>
      </c>
      <c r="G142" s="1">
        <v>50</v>
      </c>
      <c r="H142" s="1">
        <v>38</v>
      </c>
    </row>
    <row r="143" spans="1:8" x14ac:dyDescent="0.25">
      <c r="A143" s="3" t="s">
        <v>357</v>
      </c>
      <c r="B143" s="1">
        <v>380</v>
      </c>
      <c r="C143" s="1">
        <v>70</v>
      </c>
      <c r="D143" s="1">
        <v>65</v>
      </c>
      <c r="E143" s="1">
        <v>65</v>
      </c>
      <c r="F143" s="1">
        <v>55</v>
      </c>
      <c r="G143" s="1">
        <v>55</v>
      </c>
      <c r="H143" s="1">
        <v>70</v>
      </c>
    </row>
    <row r="144" spans="1:8" x14ac:dyDescent="0.25">
      <c r="A144" s="3" t="s">
        <v>275</v>
      </c>
      <c r="B144" s="1">
        <v>330</v>
      </c>
      <c r="C144" s="1">
        <v>45</v>
      </c>
      <c r="D144" s="1">
        <v>55</v>
      </c>
      <c r="E144" s="1">
        <v>45</v>
      </c>
      <c r="F144" s="1">
        <v>65</v>
      </c>
      <c r="G144" s="1">
        <v>45</v>
      </c>
      <c r="H144" s="1">
        <v>75</v>
      </c>
    </row>
    <row r="145" spans="1:8" x14ac:dyDescent="0.25">
      <c r="A145" s="3" t="s">
        <v>755</v>
      </c>
      <c r="B145" s="1">
        <v>534</v>
      </c>
      <c r="C145" s="1">
        <v>75</v>
      </c>
      <c r="D145" s="1">
        <v>69</v>
      </c>
      <c r="E145" s="1">
        <v>72</v>
      </c>
      <c r="F145" s="1">
        <v>114</v>
      </c>
      <c r="G145" s="1">
        <v>100</v>
      </c>
      <c r="H145" s="1">
        <v>104</v>
      </c>
    </row>
    <row r="146" spans="1:8" x14ac:dyDescent="0.25">
      <c r="A146" s="3" t="s">
        <v>460</v>
      </c>
      <c r="B146" s="1">
        <v>600</v>
      </c>
      <c r="C146" s="1">
        <v>50</v>
      </c>
      <c r="D146" s="1">
        <v>180</v>
      </c>
      <c r="E146" s="1">
        <v>20</v>
      </c>
      <c r="F146" s="1">
        <v>180</v>
      </c>
      <c r="G146" s="1">
        <v>20</v>
      </c>
      <c r="H146" s="1">
        <v>150</v>
      </c>
    </row>
    <row r="147" spans="1:8" x14ac:dyDescent="0.25">
      <c r="A147" s="3" t="s">
        <v>462</v>
      </c>
      <c r="B147" s="1">
        <v>600</v>
      </c>
      <c r="C147" s="1">
        <v>50</v>
      </c>
      <c r="D147" s="1">
        <v>70</v>
      </c>
      <c r="E147" s="1">
        <v>160</v>
      </c>
      <c r="F147" s="1">
        <v>70</v>
      </c>
      <c r="G147" s="1">
        <v>160</v>
      </c>
      <c r="H147" s="1">
        <v>90</v>
      </c>
    </row>
    <row r="148" spans="1:8" x14ac:dyDescent="0.25">
      <c r="A148" s="3" t="s">
        <v>463</v>
      </c>
      <c r="B148" s="1">
        <v>600</v>
      </c>
      <c r="C148" s="1">
        <v>50</v>
      </c>
      <c r="D148" s="1">
        <v>150</v>
      </c>
      <c r="E148" s="1">
        <v>50</v>
      </c>
      <c r="F148" s="1">
        <v>150</v>
      </c>
      <c r="G148" s="1">
        <v>50</v>
      </c>
      <c r="H148" s="1">
        <v>150</v>
      </c>
    </row>
    <row r="149" spans="1:8" x14ac:dyDescent="0.25">
      <c r="A149" s="3" t="s">
        <v>461</v>
      </c>
      <c r="B149" s="1">
        <v>600</v>
      </c>
      <c r="C149" s="1">
        <v>50</v>
      </c>
      <c r="D149" s="1">
        <v>95</v>
      </c>
      <c r="E149" s="1">
        <v>90</v>
      </c>
      <c r="F149" s="1">
        <v>95</v>
      </c>
      <c r="G149" s="1">
        <v>90</v>
      </c>
      <c r="H149" s="1">
        <v>180</v>
      </c>
    </row>
    <row r="150" spans="1:8" x14ac:dyDescent="0.25">
      <c r="A150" s="3" t="s">
        <v>123</v>
      </c>
      <c r="B150" s="1">
        <v>475</v>
      </c>
      <c r="C150" s="1">
        <v>90</v>
      </c>
      <c r="D150" s="1">
        <v>70</v>
      </c>
      <c r="E150" s="1">
        <v>80</v>
      </c>
      <c r="F150" s="1">
        <v>70</v>
      </c>
      <c r="G150" s="1">
        <v>95</v>
      </c>
      <c r="H150" s="1">
        <v>70</v>
      </c>
    </row>
    <row r="151" spans="1:8" x14ac:dyDescent="0.25">
      <c r="A151" s="3" t="s">
        <v>593</v>
      </c>
      <c r="B151" s="1">
        <v>413</v>
      </c>
      <c r="C151" s="1">
        <v>75</v>
      </c>
      <c r="D151" s="1">
        <v>75</v>
      </c>
      <c r="E151" s="1">
        <v>60</v>
      </c>
      <c r="F151" s="1">
        <v>83</v>
      </c>
      <c r="G151" s="1">
        <v>60</v>
      </c>
      <c r="H151" s="1">
        <v>60</v>
      </c>
    </row>
    <row r="152" spans="1:8" x14ac:dyDescent="0.25">
      <c r="A152" s="3" t="s">
        <v>572</v>
      </c>
      <c r="B152" s="1">
        <v>680</v>
      </c>
      <c r="C152" s="1">
        <v>100</v>
      </c>
      <c r="D152" s="1">
        <v>120</v>
      </c>
      <c r="E152" s="1">
        <v>120</v>
      </c>
      <c r="F152" s="1">
        <v>150</v>
      </c>
      <c r="G152" s="1">
        <v>100</v>
      </c>
      <c r="H152" s="1">
        <v>90</v>
      </c>
    </row>
    <row r="153" spans="1:8" x14ac:dyDescent="0.25">
      <c r="A153" s="3" t="s">
        <v>828</v>
      </c>
      <c r="B153" s="1">
        <v>600</v>
      </c>
      <c r="C153" s="1">
        <v>50</v>
      </c>
      <c r="D153" s="1">
        <v>100</v>
      </c>
      <c r="E153" s="1">
        <v>150</v>
      </c>
      <c r="F153" s="1">
        <v>100</v>
      </c>
      <c r="G153" s="1">
        <v>150</v>
      </c>
      <c r="H153" s="1">
        <v>50</v>
      </c>
    </row>
    <row r="154" spans="1:8" x14ac:dyDescent="0.25">
      <c r="A154" s="3" t="s">
        <v>760</v>
      </c>
      <c r="B154" s="1">
        <v>423</v>
      </c>
      <c r="C154" s="1">
        <v>85</v>
      </c>
      <c r="D154" s="1">
        <v>56</v>
      </c>
      <c r="E154" s="1">
        <v>77</v>
      </c>
      <c r="F154" s="1">
        <v>50</v>
      </c>
      <c r="G154" s="1">
        <v>77</v>
      </c>
      <c r="H154" s="1">
        <v>78</v>
      </c>
    </row>
    <row r="155" spans="1:8" x14ac:dyDescent="0.25">
      <c r="A155" s="3" t="s">
        <v>80</v>
      </c>
      <c r="B155" s="1">
        <v>265</v>
      </c>
      <c r="C155" s="1">
        <v>10</v>
      </c>
      <c r="D155" s="1">
        <v>55</v>
      </c>
      <c r="E155" s="1">
        <v>25</v>
      </c>
      <c r="F155" s="1">
        <v>35</v>
      </c>
      <c r="G155" s="1">
        <v>45</v>
      </c>
      <c r="H155" s="1">
        <v>95</v>
      </c>
    </row>
    <row r="156" spans="1:8" x14ac:dyDescent="0.25">
      <c r="A156" s="3" t="s">
        <v>175</v>
      </c>
      <c r="B156" s="1">
        <v>288</v>
      </c>
      <c r="C156" s="1">
        <v>48</v>
      </c>
      <c r="D156" s="1">
        <v>48</v>
      </c>
      <c r="E156" s="1">
        <v>48</v>
      </c>
      <c r="F156" s="1">
        <v>48</v>
      </c>
      <c r="G156" s="1">
        <v>48</v>
      </c>
      <c r="H156" s="1">
        <v>48</v>
      </c>
    </row>
    <row r="157" spans="1:8" x14ac:dyDescent="0.25">
      <c r="A157" s="3" t="s">
        <v>121</v>
      </c>
      <c r="B157" s="1">
        <v>460</v>
      </c>
      <c r="C157" s="1">
        <v>60</v>
      </c>
      <c r="D157" s="1">
        <v>110</v>
      </c>
      <c r="E157" s="1">
        <v>70</v>
      </c>
      <c r="F157" s="1">
        <v>60</v>
      </c>
      <c r="G157" s="1">
        <v>60</v>
      </c>
      <c r="H157" s="1">
        <v>100</v>
      </c>
    </row>
    <row r="158" spans="1:8" x14ac:dyDescent="0.25">
      <c r="A158" s="3" t="s">
        <v>120</v>
      </c>
      <c r="B158" s="1">
        <v>310</v>
      </c>
      <c r="C158" s="1">
        <v>35</v>
      </c>
      <c r="D158" s="1">
        <v>85</v>
      </c>
      <c r="E158" s="1">
        <v>45</v>
      </c>
      <c r="F158" s="1">
        <v>35</v>
      </c>
      <c r="G158" s="1">
        <v>35</v>
      </c>
      <c r="H158" s="1">
        <v>75</v>
      </c>
    </row>
    <row r="159" spans="1:8" x14ac:dyDescent="0.25">
      <c r="A159" s="3" t="s">
        <v>283</v>
      </c>
      <c r="B159" s="1">
        <v>500</v>
      </c>
      <c r="C159" s="1">
        <v>90</v>
      </c>
      <c r="D159" s="1">
        <v>120</v>
      </c>
      <c r="E159" s="1">
        <v>120</v>
      </c>
      <c r="F159" s="1">
        <v>60</v>
      </c>
      <c r="G159" s="1">
        <v>60</v>
      </c>
      <c r="H159" s="1">
        <v>50</v>
      </c>
    </row>
    <row r="160" spans="1:8" x14ac:dyDescent="0.25">
      <c r="A160" s="3" t="s">
        <v>781</v>
      </c>
      <c r="B160" s="1">
        <v>448</v>
      </c>
      <c r="C160" s="1">
        <v>59</v>
      </c>
      <c r="D160" s="1">
        <v>110</v>
      </c>
      <c r="E160" s="1">
        <v>150</v>
      </c>
      <c r="F160" s="1">
        <v>45</v>
      </c>
      <c r="G160" s="1">
        <v>49</v>
      </c>
      <c r="H160" s="1">
        <v>35</v>
      </c>
    </row>
    <row r="161" spans="1:8" x14ac:dyDescent="0.25">
      <c r="A161" s="3" t="s">
        <v>793</v>
      </c>
      <c r="B161" s="1">
        <v>494</v>
      </c>
      <c r="C161" s="1">
        <v>65</v>
      </c>
      <c r="D161" s="1">
        <v>75</v>
      </c>
      <c r="E161" s="1">
        <v>90</v>
      </c>
      <c r="F161" s="1">
        <v>97</v>
      </c>
      <c r="G161" s="1">
        <v>123</v>
      </c>
      <c r="H161" s="1">
        <v>44</v>
      </c>
    </row>
    <row r="162" spans="1:8" x14ac:dyDescent="0.25">
      <c r="A162" s="3" t="s">
        <v>192</v>
      </c>
      <c r="B162" s="1">
        <v>420</v>
      </c>
      <c r="C162" s="1">
        <v>61</v>
      </c>
      <c r="D162" s="1">
        <v>84</v>
      </c>
      <c r="E162" s="1">
        <v>65</v>
      </c>
      <c r="F162" s="1">
        <v>70</v>
      </c>
      <c r="G162" s="1">
        <v>70</v>
      </c>
      <c r="H162" s="1">
        <v>70</v>
      </c>
    </row>
    <row r="163" spans="1:8" x14ac:dyDescent="0.25">
      <c r="A163" s="3" t="s">
        <v>193</v>
      </c>
      <c r="B163" s="1">
        <v>600</v>
      </c>
      <c r="C163" s="1">
        <v>91</v>
      </c>
      <c r="D163" s="1">
        <v>134</v>
      </c>
      <c r="E163" s="1">
        <v>95</v>
      </c>
      <c r="F163" s="1">
        <v>100</v>
      </c>
      <c r="G163" s="1">
        <v>100</v>
      </c>
      <c r="H163" s="1">
        <v>80</v>
      </c>
    </row>
    <row r="164" spans="1:8" x14ac:dyDescent="0.25">
      <c r="A164" s="3" t="s">
        <v>534</v>
      </c>
      <c r="B164" s="1">
        <v>500</v>
      </c>
      <c r="C164" s="1">
        <v>70</v>
      </c>
      <c r="D164" s="1">
        <v>90</v>
      </c>
      <c r="E164" s="1">
        <v>110</v>
      </c>
      <c r="F164" s="1">
        <v>60</v>
      </c>
      <c r="G164" s="1">
        <v>75</v>
      </c>
      <c r="H164" s="1">
        <v>95</v>
      </c>
    </row>
    <row r="165" spans="1:8" x14ac:dyDescent="0.25">
      <c r="A165" s="3" t="s">
        <v>191</v>
      </c>
      <c r="B165" s="1">
        <v>300</v>
      </c>
      <c r="C165" s="1">
        <v>41</v>
      </c>
      <c r="D165" s="1">
        <v>64</v>
      </c>
      <c r="E165" s="1">
        <v>45</v>
      </c>
      <c r="F165" s="1">
        <v>50</v>
      </c>
      <c r="G165" s="1">
        <v>50</v>
      </c>
      <c r="H165" s="1">
        <v>50</v>
      </c>
    </row>
    <row r="166" spans="1:8" x14ac:dyDescent="0.25">
      <c r="A166" s="3" t="s">
        <v>505</v>
      </c>
      <c r="B166" s="1">
        <v>498</v>
      </c>
      <c r="C166" s="1">
        <v>150</v>
      </c>
      <c r="D166" s="1">
        <v>80</v>
      </c>
      <c r="E166" s="1">
        <v>44</v>
      </c>
      <c r="F166" s="1">
        <v>90</v>
      </c>
      <c r="G166" s="1">
        <v>54</v>
      </c>
      <c r="H166" s="1">
        <v>80</v>
      </c>
    </row>
    <row r="167" spans="1:8" x14ac:dyDescent="0.25">
      <c r="A167" s="3" t="s">
        <v>504</v>
      </c>
      <c r="B167" s="1">
        <v>348</v>
      </c>
      <c r="C167" s="1">
        <v>90</v>
      </c>
      <c r="D167" s="1">
        <v>50</v>
      </c>
      <c r="E167" s="1">
        <v>34</v>
      </c>
      <c r="F167" s="1">
        <v>60</v>
      </c>
      <c r="G167" s="1">
        <v>44</v>
      </c>
      <c r="H167" s="1">
        <v>70</v>
      </c>
    </row>
    <row r="168" spans="1:8" x14ac:dyDescent="0.25">
      <c r="A168" s="3" t="s">
        <v>620</v>
      </c>
      <c r="B168" s="1">
        <v>328</v>
      </c>
      <c r="C168" s="1">
        <v>60</v>
      </c>
      <c r="D168" s="1">
        <v>85</v>
      </c>
      <c r="E168" s="1">
        <v>40</v>
      </c>
      <c r="F168" s="1">
        <v>30</v>
      </c>
      <c r="G168" s="1">
        <v>45</v>
      </c>
      <c r="H168" s="1">
        <v>68</v>
      </c>
    </row>
    <row r="169" spans="1:8" x14ac:dyDescent="0.25">
      <c r="A169" s="3" t="s">
        <v>135</v>
      </c>
      <c r="B169" s="1">
        <v>328</v>
      </c>
      <c r="C169" s="1">
        <v>60</v>
      </c>
      <c r="D169" s="1">
        <v>48</v>
      </c>
      <c r="E169" s="1">
        <v>45</v>
      </c>
      <c r="F169" s="1">
        <v>43</v>
      </c>
      <c r="G169" s="1">
        <v>90</v>
      </c>
      <c r="H169" s="1">
        <v>42</v>
      </c>
    </row>
    <row r="170" spans="1:8" x14ac:dyDescent="0.25">
      <c r="A170" s="3" t="s">
        <v>714</v>
      </c>
      <c r="B170" s="1">
        <v>485</v>
      </c>
      <c r="C170" s="1">
        <v>77</v>
      </c>
      <c r="D170" s="1">
        <v>120</v>
      </c>
      <c r="E170" s="1">
        <v>90</v>
      </c>
      <c r="F170" s="1">
        <v>60</v>
      </c>
      <c r="G170" s="1">
        <v>90</v>
      </c>
      <c r="H170" s="1">
        <v>48</v>
      </c>
    </row>
    <row r="171" spans="1:8" x14ac:dyDescent="0.25">
      <c r="A171" s="3" t="s">
        <v>673</v>
      </c>
      <c r="B171" s="1">
        <v>305</v>
      </c>
      <c r="C171" s="1">
        <v>62</v>
      </c>
      <c r="D171" s="1">
        <v>44</v>
      </c>
      <c r="E171" s="1">
        <v>50</v>
      </c>
      <c r="F171" s="1">
        <v>44</v>
      </c>
      <c r="G171" s="1">
        <v>50</v>
      </c>
      <c r="H171" s="1">
        <v>55</v>
      </c>
    </row>
    <row r="172" spans="1:8" x14ac:dyDescent="0.25">
      <c r="A172" s="3" t="s">
        <v>81</v>
      </c>
      <c r="B172" s="1">
        <v>405</v>
      </c>
      <c r="C172" s="1">
        <v>35</v>
      </c>
      <c r="D172" s="1">
        <v>80</v>
      </c>
      <c r="E172" s="1">
        <v>50</v>
      </c>
      <c r="F172" s="1">
        <v>50</v>
      </c>
      <c r="G172" s="1">
        <v>70</v>
      </c>
      <c r="H172" s="1">
        <v>120</v>
      </c>
    </row>
    <row r="173" spans="1:8" x14ac:dyDescent="0.25">
      <c r="A173" s="3" t="s">
        <v>253</v>
      </c>
      <c r="B173" s="1">
        <v>415</v>
      </c>
      <c r="C173" s="1">
        <v>100</v>
      </c>
      <c r="D173" s="1">
        <v>70</v>
      </c>
      <c r="E173" s="1">
        <v>70</v>
      </c>
      <c r="F173" s="1">
        <v>65</v>
      </c>
      <c r="G173" s="1">
        <v>65</v>
      </c>
      <c r="H173" s="1">
        <v>45</v>
      </c>
    </row>
    <row r="174" spans="1:8" x14ac:dyDescent="0.25">
      <c r="A174" s="3" t="s">
        <v>671</v>
      </c>
      <c r="B174" s="1">
        <v>370</v>
      </c>
      <c r="C174" s="1">
        <v>65</v>
      </c>
      <c r="D174" s="1">
        <v>40</v>
      </c>
      <c r="E174" s="1">
        <v>50</v>
      </c>
      <c r="F174" s="1">
        <v>125</v>
      </c>
      <c r="G174" s="1">
        <v>60</v>
      </c>
      <c r="H174" s="1">
        <v>30</v>
      </c>
    </row>
    <row r="175" spans="1:8" x14ac:dyDescent="0.25">
      <c r="A175" s="3" t="s">
        <v>725</v>
      </c>
      <c r="B175" s="1">
        <v>484</v>
      </c>
      <c r="C175" s="1">
        <v>58</v>
      </c>
      <c r="D175" s="1">
        <v>109</v>
      </c>
      <c r="E175" s="1">
        <v>112</v>
      </c>
      <c r="F175" s="1">
        <v>48</v>
      </c>
      <c r="G175" s="1">
        <v>48</v>
      </c>
      <c r="H175" s="1">
        <v>109</v>
      </c>
    </row>
    <row r="176" spans="1:8" x14ac:dyDescent="0.25">
      <c r="A176" s="3" t="s">
        <v>421</v>
      </c>
      <c r="B176" s="1">
        <v>455</v>
      </c>
      <c r="C176" s="1">
        <v>40</v>
      </c>
      <c r="D176" s="1">
        <v>70</v>
      </c>
      <c r="E176" s="1">
        <v>130</v>
      </c>
      <c r="F176" s="1">
        <v>60</v>
      </c>
      <c r="G176" s="1">
        <v>130</v>
      </c>
      <c r="H176" s="1">
        <v>25</v>
      </c>
    </row>
    <row r="177" spans="1:8" x14ac:dyDescent="0.25">
      <c r="A177" s="3" t="s">
        <v>561</v>
      </c>
      <c r="B177" s="1">
        <v>525</v>
      </c>
      <c r="C177" s="1">
        <v>45</v>
      </c>
      <c r="D177" s="1">
        <v>100</v>
      </c>
      <c r="E177" s="1">
        <v>135</v>
      </c>
      <c r="F177" s="1">
        <v>65</v>
      </c>
      <c r="G177" s="1">
        <v>135</v>
      </c>
      <c r="H177" s="1">
        <v>45</v>
      </c>
    </row>
    <row r="178" spans="1:8" x14ac:dyDescent="0.25">
      <c r="A178" s="3" t="s">
        <v>420</v>
      </c>
      <c r="B178" s="1">
        <v>295</v>
      </c>
      <c r="C178" s="1">
        <v>20</v>
      </c>
      <c r="D178" s="1">
        <v>40</v>
      </c>
      <c r="E178" s="1">
        <v>90</v>
      </c>
      <c r="F178" s="1">
        <v>30</v>
      </c>
      <c r="G178" s="1">
        <v>90</v>
      </c>
      <c r="H178" s="1">
        <v>25</v>
      </c>
    </row>
    <row r="179" spans="1:8" x14ac:dyDescent="0.25">
      <c r="A179" s="3" t="s">
        <v>324</v>
      </c>
      <c r="B179" s="1">
        <v>385</v>
      </c>
      <c r="C179" s="1">
        <v>60</v>
      </c>
      <c r="D179" s="1">
        <v>50</v>
      </c>
      <c r="E179" s="1">
        <v>70</v>
      </c>
      <c r="F179" s="1">
        <v>50</v>
      </c>
      <c r="G179" s="1">
        <v>90</v>
      </c>
      <c r="H179" s="1">
        <v>65</v>
      </c>
    </row>
    <row r="180" spans="1:8" x14ac:dyDescent="0.25">
      <c r="A180" s="3" t="s">
        <v>650</v>
      </c>
      <c r="B180" s="1">
        <v>325</v>
      </c>
      <c r="C180" s="1">
        <v>50</v>
      </c>
      <c r="D180" s="1">
        <v>65</v>
      </c>
      <c r="E180" s="1">
        <v>85</v>
      </c>
      <c r="F180" s="1">
        <v>35</v>
      </c>
      <c r="G180" s="1">
        <v>35</v>
      </c>
      <c r="H180" s="1">
        <v>55</v>
      </c>
    </row>
    <row r="181" spans="1:8" x14ac:dyDescent="0.25">
      <c r="A181" s="3" t="s">
        <v>696</v>
      </c>
      <c r="B181" s="1">
        <v>405</v>
      </c>
      <c r="C181" s="1">
        <v>65</v>
      </c>
      <c r="D181" s="1">
        <v>85</v>
      </c>
      <c r="E181" s="1">
        <v>70</v>
      </c>
      <c r="F181" s="1">
        <v>75</v>
      </c>
      <c r="G181" s="1">
        <v>70</v>
      </c>
      <c r="H181" s="1">
        <v>40</v>
      </c>
    </row>
    <row r="182" spans="1:8" x14ac:dyDescent="0.25">
      <c r="A182" s="3" t="s">
        <v>697</v>
      </c>
      <c r="B182" s="1">
        <v>515</v>
      </c>
      <c r="C182" s="1">
        <v>85</v>
      </c>
      <c r="D182" s="1">
        <v>115</v>
      </c>
      <c r="E182" s="1">
        <v>80</v>
      </c>
      <c r="F182" s="1">
        <v>105</v>
      </c>
      <c r="G182" s="1">
        <v>80</v>
      </c>
      <c r="H182" s="1">
        <v>50</v>
      </c>
    </row>
    <row r="183" spans="1:8" x14ac:dyDescent="0.25">
      <c r="A183" s="3" t="s">
        <v>176</v>
      </c>
      <c r="B183" s="1">
        <v>325</v>
      </c>
      <c r="C183" s="1">
        <v>55</v>
      </c>
      <c r="D183" s="1">
        <v>55</v>
      </c>
      <c r="E183" s="1">
        <v>50</v>
      </c>
      <c r="F183" s="1">
        <v>45</v>
      </c>
      <c r="G183" s="1">
        <v>65</v>
      </c>
      <c r="H183" s="1">
        <v>55</v>
      </c>
    </row>
    <row r="184" spans="1:8" x14ac:dyDescent="0.25">
      <c r="A184" s="3" t="s">
        <v>50</v>
      </c>
      <c r="B184" s="1">
        <v>288</v>
      </c>
      <c r="C184" s="1">
        <v>35</v>
      </c>
      <c r="D184" s="1">
        <v>60</v>
      </c>
      <c r="E184" s="1">
        <v>44</v>
      </c>
      <c r="F184" s="1">
        <v>40</v>
      </c>
      <c r="G184" s="1">
        <v>54</v>
      </c>
      <c r="H184" s="1">
        <v>55</v>
      </c>
    </row>
    <row r="185" spans="1:8" x14ac:dyDescent="0.25">
      <c r="A185" s="3" t="s">
        <v>165</v>
      </c>
      <c r="B185" s="1">
        <v>490</v>
      </c>
      <c r="C185" s="1">
        <v>65</v>
      </c>
      <c r="D185" s="1">
        <v>83</v>
      </c>
      <c r="E185" s="1">
        <v>57</v>
      </c>
      <c r="F185" s="1">
        <v>95</v>
      </c>
      <c r="G185" s="1">
        <v>85</v>
      </c>
      <c r="H185" s="1">
        <v>105</v>
      </c>
    </row>
    <row r="186" spans="1:8" x14ac:dyDescent="0.25">
      <c r="A186" s="3" t="s">
        <v>549</v>
      </c>
      <c r="B186" s="1">
        <v>540</v>
      </c>
      <c r="C186" s="1">
        <v>75</v>
      </c>
      <c r="D186" s="1">
        <v>123</v>
      </c>
      <c r="E186" s="1">
        <v>67</v>
      </c>
      <c r="F186" s="1">
        <v>95</v>
      </c>
      <c r="G186" s="1">
        <v>85</v>
      </c>
      <c r="H186" s="1">
        <v>95</v>
      </c>
    </row>
    <row r="187" spans="1:8" x14ac:dyDescent="0.25">
      <c r="A187" s="3" t="s">
        <v>369</v>
      </c>
      <c r="B187" s="1">
        <v>295</v>
      </c>
      <c r="C187" s="1">
        <v>40</v>
      </c>
      <c r="D187" s="1">
        <v>45</v>
      </c>
      <c r="E187" s="1">
        <v>40</v>
      </c>
      <c r="F187" s="1">
        <v>65</v>
      </c>
      <c r="G187" s="1">
        <v>40</v>
      </c>
      <c r="H187" s="1">
        <v>65</v>
      </c>
    </row>
    <row r="188" spans="1:8" x14ac:dyDescent="0.25">
      <c r="A188" s="3" t="s">
        <v>140</v>
      </c>
      <c r="B188" s="1">
        <v>480</v>
      </c>
      <c r="C188" s="1">
        <v>60</v>
      </c>
      <c r="D188" s="1">
        <v>50</v>
      </c>
      <c r="E188" s="1">
        <v>70</v>
      </c>
      <c r="F188" s="1">
        <v>80</v>
      </c>
      <c r="G188" s="1">
        <v>80</v>
      </c>
      <c r="H188" s="1">
        <v>140</v>
      </c>
    </row>
    <row r="189" spans="1:8" x14ac:dyDescent="0.25">
      <c r="A189" s="3" t="s">
        <v>290</v>
      </c>
      <c r="B189" s="1">
        <v>360</v>
      </c>
      <c r="C189" s="1">
        <v>45</v>
      </c>
      <c r="D189" s="1">
        <v>63</v>
      </c>
      <c r="E189" s="1">
        <v>37</v>
      </c>
      <c r="F189" s="1">
        <v>65</v>
      </c>
      <c r="G189" s="1">
        <v>55</v>
      </c>
      <c r="H189" s="1">
        <v>95</v>
      </c>
    </row>
    <row r="190" spans="1:8" x14ac:dyDescent="0.25">
      <c r="A190" s="3" t="s">
        <v>698</v>
      </c>
      <c r="B190" s="1">
        <v>335</v>
      </c>
      <c r="C190" s="1">
        <v>55</v>
      </c>
      <c r="D190" s="1">
        <v>55</v>
      </c>
      <c r="E190" s="1">
        <v>55</v>
      </c>
      <c r="F190" s="1">
        <v>85</v>
      </c>
      <c r="G190" s="1">
        <v>55</v>
      </c>
      <c r="H190" s="1">
        <v>30</v>
      </c>
    </row>
    <row r="191" spans="1:8" x14ac:dyDescent="0.25">
      <c r="A191" s="3" t="s">
        <v>591</v>
      </c>
      <c r="B191" s="1">
        <v>528</v>
      </c>
      <c r="C191" s="1">
        <v>110</v>
      </c>
      <c r="D191" s="1">
        <v>123</v>
      </c>
      <c r="E191" s="1">
        <v>65</v>
      </c>
      <c r="F191" s="1">
        <v>100</v>
      </c>
      <c r="G191" s="1">
        <v>65</v>
      </c>
      <c r="H191" s="1">
        <v>65</v>
      </c>
    </row>
    <row r="192" spans="1:8" x14ac:dyDescent="0.25">
      <c r="A192" s="3" t="s">
        <v>680</v>
      </c>
      <c r="B192" s="1">
        <v>428</v>
      </c>
      <c r="C192" s="1">
        <v>55</v>
      </c>
      <c r="D192" s="1">
        <v>75</v>
      </c>
      <c r="E192" s="1">
        <v>60</v>
      </c>
      <c r="F192" s="1">
        <v>75</v>
      </c>
      <c r="G192" s="1">
        <v>60</v>
      </c>
      <c r="H192" s="1">
        <v>103</v>
      </c>
    </row>
    <row r="193" spans="1:8" x14ac:dyDescent="0.25">
      <c r="A193" s="3" t="s">
        <v>472</v>
      </c>
      <c r="B193" s="1">
        <v>530</v>
      </c>
      <c r="C193" s="1">
        <v>84</v>
      </c>
      <c r="D193" s="1">
        <v>86</v>
      </c>
      <c r="E193" s="1">
        <v>88</v>
      </c>
      <c r="F193" s="1">
        <v>111</v>
      </c>
      <c r="G193" s="1">
        <v>101</v>
      </c>
      <c r="H193" s="1">
        <v>60</v>
      </c>
    </row>
    <row r="194" spans="1:8" x14ac:dyDescent="0.25">
      <c r="A194" s="3" t="s">
        <v>295</v>
      </c>
      <c r="B194" s="1">
        <v>580</v>
      </c>
      <c r="C194" s="1">
        <v>115</v>
      </c>
      <c r="D194" s="1">
        <v>115</v>
      </c>
      <c r="E194" s="1">
        <v>85</v>
      </c>
      <c r="F194" s="1">
        <v>90</v>
      </c>
      <c r="G194" s="1">
        <v>75</v>
      </c>
      <c r="H194" s="1">
        <v>100</v>
      </c>
    </row>
    <row r="195" spans="1:8" x14ac:dyDescent="0.25">
      <c r="A195" s="3" t="s">
        <v>682</v>
      </c>
      <c r="B195" s="1">
        <v>495</v>
      </c>
      <c r="C195" s="1">
        <v>70</v>
      </c>
      <c r="D195" s="1">
        <v>135</v>
      </c>
      <c r="E195" s="1">
        <v>105</v>
      </c>
      <c r="F195" s="1">
        <v>60</v>
      </c>
      <c r="G195" s="1">
        <v>105</v>
      </c>
      <c r="H195" s="1">
        <v>20</v>
      </c>
    </row>
    <row r="196" spans="1:8" x14ac:dyDescent="0.25">
      <c r="A196" s="3" t="s">
        <v>243</v>
      </c>
      <c r="B196" s="1">
        <v>525</v>
      </c>
      <c r="C196" s="1">
        <v>65</v>
      </c>
      <c r="D196" s="1">
        <v>65</v>
      </c>
      <c r="E196" s="1">
        <v>60</v>
      </c>
      <c r="F196" s="1">
        <v>130</v>
      </c>
      <c r="G196" s="1">
        <v>95</v>
      </c>
      <c r="H196" s="1">
        <v>110</v>
      </c>
    </row>
    <row r="197" spans="1:8" x14ac:dyDescent="0.25">
      <c r="A197" s="3" t="s">
        <v>777</v>
      </c>
      <c r="B197" s="1">
        <v>355</v>
      </c>
      <c r="C197" s="1">
        <v>62</v>
      </c>
      <c r="D197" s="1">
        <v>48</v>
      </c>
      <c r="E197" s="1">
        <v>54</v>
      </c>
      <c r="F197" s="1">
        <v>63</v>
      </c>
      <c r="G197" s="1">
        <v>60</v>
      </c>
      <c r="H197" s="1">
        <v>68</v>
      </c>
    </row>
    <row r="198" spans="1:8" x14ac:dyDescent="0.25">
      <c r="A198" s="3" t="s">
        <v>621</v>
      </c>
      <c r="B198" s="1">
        <v>508</v>
      </c>
      <c r="C198" s="1">
        <v>110</v>
      </c>
      <c r="D198" s="1">
        <v>135</v>
      </c>
      <c r="E198" s="1">
        <v>60</v>
      </c>
      <c r="F198" s="1">
        <v>50</v>
      </c>
      <c r="G198" s="1">
        <v>65</v>
      </c>
      <c r="H198" s="1">
        <v>88</v>
      </c>
    </row>
    <row r="199" spans="1:8" x14ac:dyDescent="0.25">
      <c r="A199" s="3" t="s">
        <v>141</v>
      </c>
      <c r="B199" s="1">
        <v>325</v>
      </c>
      <c r="C199" s="1">
        <v>60</v>
      </c>
      <c r="D199" s="1">
        <v>40</v>
      </c>
      <c r="E199" s="1">
        <v>80</v>
      </c>
      <c r="F199" s="1">
        <v>60</v>
      </c>
      <c r="G199" s="1">
        <v>45</v>
      </c>
      <c r="H199" s="1">
        <v>40</v>
      </c>
    </row>
    <row r="200" spans="1:8" x14ac:dyDescent="0.25">
      <c r="A200" s="3" t="s">
        <v>142</v>
      </c>
      <c r="B200" s="1">
        <v>520</v>
      </c>
      <c r="C200" s="1">
        <v>95</v>
      </c>
      <c r="D200" s="1">
        <v>95</v>
      </c>
      <c r="E200" s="1">
        <v>85</v>
      </c>
      <c r="F200" s="1">
        <v>125</v>
      </c>
      <c r="G200" s="1">
        <v>65</v>
      </c>
      <c r="H200" s="1">
        <v>55</v>
      </c>
    </row>
    <row r="201" spans="1:8" x14ac:dyDescent="0.25">
      <c r="A201" s="3" t="s">
        <v>351</v>
      </c>
      <c r="B201" s="1">
        <v>490</v>
      </c>
      <c r="C201" s="1">
        <v>104</v>
      </c>
      <c r="D201" s="1">
        <v>91</v>
      </c>
      <c r="E201" s="1">
        <v>63</v>
      </c>
      <c r="F201" s="1">
        <v>91</v>
      </c>
      <c r="G201" s="1">
        <v>73</v>
      </c>
      <c r="H201" s="1">
        <v>68</v>
      </c>
    </row>
    <row r="202" spans="1:8" x14ac:dyDescent="0.25">
      <c r="A202" s="3" t="s">
        <v>119</v>
      </c>
      <c r="B202" s="1">
        <v>352</v>
      </c>
      <c r="C202" s="1">
        <v>52</v>
      </c>
      <c r="D202" s="1">
        <v>65</v>
      </c>
      <c r="E202" s="1">
        <v>55</v>
      </c>
      <c r="F202" s="1">
        <v>58</v>
      </c>
      <c r="G202" s="1">
        <v>62</v>
      </c>
      <c r="H202" s="1">
        <v>60</v>
      </c>
    </row>
    <row r="203" spans="1:8" x14ac:dyDescent="0.25">
      <c r="A203" s="3" t="s">
        <v>49</v>
      </c>
      <c r="B203" s="1">
        <v>442</v>
      </c>
      <c r="C203" s="1">
        <v>65</v>
      </c>
      <c r="D203" s="1">
        <v>90</v>
      </c>
      <c r="E203" s="1">
        <v>65</v>
      </c>
      <c r="F203" s="1">
        <v>61</v>
      </c>
      <c r="G203" s="1">
        <v>61</v>
      </c>
      <c r="H203" s="1">
        <v>100</v>
      </c>
    </row>
    <row r="204" spans="1:8" x14ac:dyDescent="0.25">
      <c r="A204" s="3" t="s">
        <v>413</v>
      </c>
      <c r="B204" s="1">
        <v>200</v>
      </c>
      <c r="C204" s="1">
        <v>20</v>
      </c>
      <c r="D204" s="1">
        <v>15</v>
      </c>
      <c r="E204" s="1">
        <v>20</v>
      </c>
      <c r="F204" s="1">
        <v>10</v>
      </c>
      <c r="G204" s="1">
        <v>55</v>
      </c>
      <c r="H204" s="1">
        <v>80</v>
      </c>
    </row>
    <row r="205" spans="1:8" x14ac:dyDescent="0.25">
      <c r="A205" s="3" t="s">
        <v>753</v>
      </c>
      <c r="B205" s="1">
        <v>307</v>
      </c>
      <c r="C205" s="1">
        <v>40</v>
      </c>
      <c r="D205" s="1">
        <v>45</v>
      </c>
      <c r="E205" s="1">
        <v>40</v>
      </c>
      <c r="F205" s="1">
        <v>62</v>
      </c>
      <c r="G205" s="1">
        <v>60</v>
      </c>
      <c r="H205" s="1">
        <v>60</v>
      </c>
    </row>
    <row r="206" spans="1:8" x14ac:dyDescent="0.25">
      <c r="A206" s="3" t="s">
        <v>206</v>
      </c>
      <c r="B206" s="1">
        <v>530</v>
      </c>
      <c r="C206" s="1">
        <v>85</v>
      </c>
      <c r="D206" s="1">
        <v>105</v>
      </c>
      <c r="E206" s="1">
        <v>100</v>
      </c>
      <c r="F206" s="1">
        <v>79</v>
      </c>
      <c r="G206" s="1">
        <v>83</v>
      </c>
      <c r="H206" s="1">
        <v>78</v>
      </c>
    </row>
    <row r="207" spans="1:8" x14ac:dyDescent="0.25">
      <c r="A207" s="3" t="s">
        <v>690</v>
      </c>
      <c r="B207" s="1">
        <v>305</v>
      </c>
      <c r="C207" s="1">
        <v>44</v>
      </c>
      <c r="D207" s="1">
        <v>50</v>
      </c>
      <c r="E207" s="1">
        <v>91</v>
      </c>
      <c r="F207" s="1">
        <v>24</v>
      </c>
      <c r="G207" s="1">
        <v>86</v>
      </c>
      <c r="H207" s="1">
        <v>10</v>
      </c>
    </row>
    <row r="208" spans="1:8" x14ac:dyDescent="0.25">
      <c r="A208" s="3" t="s">
        <v>691</v>
      </c>
      <c r="B208" s="1">
        <v>489</v>
      </c>
      <c r="C208" s="1">
        <v>74</v>
      </c>
      <c r="D208" s="1">
        <v>94</v>
      </c>
      <c r="E208" s="1">
        <v>131</v>
      </c>
      <c r="F208" s="1">
        <v>54</v>
      </c>
      <c r="G208" s="1">
        <v>116</v>
      </c>
      <c r="H208" s="1">
        <v>20</v>
      </c>
    </row>
    <row r="209" spans="1:8" x14ac:dyDescent="0.25">
      <c r="A209" s="3" t="s">
        <v>538</v>
      </c>
      <c r="B209" s="1">
        <v>330</v>
      </c>
      <c r="C209" s="1">
        <v>49</v>
      </c>
      <c r="D209" s="1">
        <v>49</v>
      </c>
      <c r="E209" s="1">
        <v>56</v>
      </c>
      <c r="F209" s="1">
        <v>49</v>
      </c>
      <c r="G209" s="1">
        <v>61</v>
      </c>
      <c r="H209" s="1">
        <v>66</v>
      </c>
    </row>
    <row r="210" spans="1:8" x14ac:dyDescent="0.25">
      <c r="A210" s="3" t="s">
        <v>226</v>
      </c>
      <c r="B210" s="1">
        <v>365</v>
      </c>
      <c r="C210" s="1">
        <v>70</v>
      </c>
      <c r="D210" s="1">
        <v>55</v>
      </c>
      <c r="E210" s="1">
        <v>55</v>
      </c>
      <c r="F210" s="1">
        <v>80</v>
      </c>
      <c r="G210" s="1">
        <v>60</v>
      </c>
      <c r="H210" s="1">
        <v>45</v>
      </c>
    </row>
    <row r="211" spans="1:8" x14ac:dyDescent="0.25">
      <c r="A211" s="3" t="s">
        <v>769</v>
      </c>
      <c r="B211" s="1">
        <v>303</v>
      </c>
      <c r="C211" s="1">
        <v>44</v>
      </c>
      <c r="D211" s="1">
        <v>38</v>
      </c>
      <c r="E211" s="1">
        <v>39</v>
      </c>
      <c r="F211" s="1">
        <v>61</v>
      </c>
      <c r="G211" s="1">
        <v>79</v>
      </c>
      <c r="H211" s="1">
        <v>42</v>
      </c>
    </row>
    <row r="212" spans="1:8" x14ac:dyDescent="0.25">
      <c r="A212" s="3" t="s">
        <v>179</v>
      </c>
      <c r="B212" s="1">
        <v>525</v>
      </c>
      <c r="C212" s="1">
        <v>65</v>
      </c>
      <c r="D212" s="1">
        <v>130</v>
      </c>
      <c r="E212" s="1">
        <v>60</v>
      </c>
      <c r="F212" s="1">
        <v>95</v>
      </c>
      <c r="G212" s="1">
        <v>110</v>
      </c>
      <c r="H212" s="1">
        <v>65</v>
      </c>
    </row>
    <row r="213" spans="1:8" x14ac:dyDescent="0.25">
      <c r="A213" s="3" t="s">
        <v>762</v>
      </c>
      <c r="B213" s="1">
        <v>382</v>
      </c>
      <c r="C213" s="1">
        <v>62</v>
      </c>
      <c r="D213" s="1">
        <v>73</v>
      </c>
      <c r="E213" s="1">
        <v>55</v>
      </c>
      <c r="F213" s="1">
        <v>56</v>
      </c>
      <c r="G213" s="1">
        <v>52</v>
      </c>
      <c r="H213" s="1">
        <v>84</v>
      </c>
    </row>
    <row r="214" spans="1:8" x14ac:dyDescent="0.25">
      <c r="A214" s="3" t="s">
        <v>761</v>
      </c>
      <c r="B214" s="1">
        <v>278</v>
      </c>
      <c r="C214" s="1">
        <v>45</v>
      </c>
      <c r="D214" s="1">
        <v>50</v>
      </c>
      <c r="E214" s="1">
        <v>43</v>
      </c>
      <c r="F214" s="1">
        <v>40</v>
      </c>
      <c r="G214" s="1">
        <v>38</v>
      </c>
      <c r="H214" s="1">
        <v>62</v>
      </c>
    </row>
    <row r="215" spans="1:8" x14ac:dyDescent="0.25">
      <c r="A215" s="3" t="s">
        <v>498</v>
      </c>
      <c r="B215" s="1">
        <v>495</v>
      </c>
      <c r="C215" s="1">
        <v>85</v>
      </c>
      <c r="D215" s="1">
        <v>105</v>
      </c>
      <c r="E215" s="1">
        <v>55</v>
      </c>
      <c r="F215" s="1">
        <v>85</v>
      </c>
      <c r="G215" s="1">
        <v>50</v>
      </c>
      <c r="H215" s="1">
        <v>115</v>
      </c>
    </row>
    <row r="216" spans="1:8" x14ac:dyDescent="0.25">
      <c r="A216" s="3" t="s">
        <v>770</v>
      </c>
      <c r="B216" s="1">
        <v>371</v>
      </c>
      <c r="C216" s="1">
        <v>54</v>
      </c>
      <c r="D216" s="1">
        <v>45</v>
      </c>
      <c r="E216" s="1">
        <v>47</v>
      </c>
      <c r="F216" s="1">
        <v>75</v>
      </c>
      <c r="G216" s="1">
        <v>98</v>
      </c>
      <c r="H216" s="1">
        <v>52</v>
      </c>
    </row>
    <row r="217" spans="1:8" x14ac:dyDescent="0.25">
      <c r="A217" s="3" t="s">
        <v>771</v>
      </c>
      <c r="B217" s="1">
        <v>552</v>
      </c>
      <c r="C217" s="1">
        <v>78</v>
      </c>
      <c r="D217" s="1">
        <v>65</v>
      </c>
      <c r="E217" s="1">
        <v>68</v>
      </c>
      <c r="F217" s="1">
        <v>112</v>
      </c>
      <c r="G217" s="1">
        <v>154</v>
      </c>
      <c r="H217" s="1">
        <v>75</v>
      </c>
    </row>
    <row r="218" spans="1:8" x14ac:dyDescent="0.25">
      <c r="A218" s="3" t="s">
        <v>393</v>
      </c>
      <c r="B218" s="1">
        <v>520</v>
      </c>
      <c r="C218" s="1">
        <v>80</v>
      </c>
      <c r="D218" s="1">
        <v>100</v>
      </c>
      <c r="E218" s="1">
        <v>80</v>
      </c>
      <c r="F218" s="1">
        <v>80</v>
      </c>
      <c r="G218" s="1">
        <v>80</v>
      </c>
      <c r="H218" s="1">
        <v>100</v>
      </c>
    </row>
    <row r="219" spans="1:8" x14ac:dyDescent="0.25">
      <c r="A219" s="3" t="s">
        <v>683</v>
      </c>
      <c r="B219" s="1">
        <v>294</v>
      </c>
      <c r="C219" s="1">
        <v>69</v>
      </c>
      <c r="D219" s="1">
        <v>55</v>
      </c>
      <c r="E219" s="1">
        <v>45</v>
      </c>
      <c r="F219" s="1">
        <v>55</v>
      </c>
      <c r="G219" s="1">
        <v>55</v>
      </c>
      <c r="H219" s="1">
        <v>15</v>
      </c>
    </row>
    <row r="220" spans="1:8" x14ac:dyDescent="0.25">
      <c r="A220" s="3" t="s">
        <v>252</v>
      </c>
      <c r="B220" s="1">
        <v>465</v>
      </c>
      <c r="C220" s="1">
        <v>75</v>
      </c>
      <c r="D220" s="1">
        <v>90</v>
      </c>
      <c r="E220" s="1">
        <v>140</v>
      </c>
      <c r="F220" s="1">
        <v>60</v>
      </c>
      <c r="G220" s="1">
        <v>60</v>
      </c>
      <c r="H220" s="1">
        <v>40</v>
      </c>
    </row>
    <row r="221" spans="1:8" x14ac:dyDescent="0.25">
      <c r="A221" s="3" t="s">
        <v>704</v>
      </c>
      <c r="B221" s="1">
        <v>410</v>
      </c>
      <c r="C221" s="1">
        <v>66</v>
      </c>
      <c r="D221" s="1">
        <v>117</v>
      </c>
      <c r="E221" s="1">
        <v>70</v>
      </c>
      <c r="F221" s="1">
        <v>40</v>
      </c>
      <c r="G221" s="1">
        <v>50</v>
      </c>
      <c r="H221" s="1">
        <v>67</v>
      </c>
    </row>
    <row r="222" spans="1:8" x14ac:dyDescent="0.25">
      <c r="A222" s="3" t="s">
        <v>685</v>
      </c>
      <c r="B222" s="1">
        <v>335</v>
      </c>
      <c r="C222" s="1">
        <v>55</v>
      </c>
      <c r="D222" s="1">
        <v>40</v>
      </c>
      <c r="E222" s="1">
        <v>50</v>
      </c>
      <c r="F222" s="1">
        <v>65</v>
      </c>
      <c r="G222" s="1">
        <v>85</v>
      </c>
      <c r="H222" s="1">
        <v>40</v>
      </c>
    </row>
    <row r="223" spans="1:8" x14ac:dyDescent="0.25">
      <c r="A223" s="3" t="s">
        <v>756</v>
      </c>
      <c r="B223" s="1">
        <v>314</v>
      </c>
      <c r="C223" s="1">
        <v>41</v>
      </c>
      <c r="D223" s="1">
        <v>56</v>
      </c>
      <c r="E223" s="1">
        <v>40</v>
      </c>
      <c r="F223" s="1">
        <v>62</v>
      </c>
      <c r="G223" s="1">
        <v>44</v>
      </c>
      <c r="H223" s="1">
        <v>71</v>
      </c>
    </row>
    <row r="224" spans="1:8" x14ac:dyDescent="0.25">
      <c r="A224" s="3" t="s">
        <v>757</v>
      </c>
      <c r="B224" s="1">
        <v>405</v>
      </c>
      <c r="C224" s="1">
        <v>54</v>
      </c>
      <c r="D224" s="1">
        <v>63</v>
      </c>
      <c r="E224" s="1">
        <v>52</v>
      </c>
      <c r="F224" s="1">
        <v>83</v>
      </c>
      <c r="G224" s="1">
        <v>56</v>
      </c>
      <c r="H224" s="1">
        <v>97</v>
      </c>
    </row>
    <row r="225" spans="1:8" x14ac:dyDescent="0.25">
      <c r="A225" s="3" t="s">
        <v>562</v>
      </c>
      <c r="B225" s="1">
        <v>480</v>
      </c>
      <c r="C225" s="1">
        <v>70</v>
      </c>
      <c r="D225" s="1">
        <v>80</v>
      </c>
      <c r="E225" s="1">
        <v>70</v>
      </c>
      <c r="F225" s="1">
        <v>80</v>
      </c>
      <c r="G225" s="1">
        <v>70</v>
      </c>
      <c r="H225" s="1">
        <v>110</v>
      </c>
    </row>
    <row r="226" spans="1:8" x14ac:dyDescent="0.25">
      <c r="A226" s="3" t="s">
        <v>776</v>
      </c>
      <c r="B226" s="1">
        <v>472</v>
      </c>
      <c r="C226" s="1">
        <v>75</v>
      </c>
      <c r="D226" s="1">
        <v>80</v>
      </c>
      <c r="E226" s="1">
        <v>60</v>
      </c>
      <c r="F226" s="1">
        <v>65</v>
      </c>
      <c r="G226" s="1">
        <v>90</v>
      </c>
      <c r="H226" s="1">
        <v>102</v>
      </c>
    </row>
    <row r="227" spans="1:8" x14ac:dyDescent="0.25">
      <c r="A227" s="3" t="s">
        <v>208</v>
      </c>
      <c r="B227" s="1">
        <v>415</v>
      </c>
      <c r="C227" s="1">
        <v>85</v>
      </c>
      <c r="D227" s="1">
        <v>76</v>
      </c>
      <c r="E227" s="1">
        <v>64</v>
      </c>
      <c r="F227" s="1">
        <v>45</v>
      </c>
      <c r="G227" s="1">
        <v>55</v>
      </c>
      <c r="H227" s="1">
        <v>90</v>
      </c>
    </row>
    <row r="228" spans="1:8" x14ac:dyDescent="0.25">
      <c r="A228" s="3" t="s">
        <v>524</v>
      </c>
      <c r="B228" s="1">
        <v>410</v>
      </c>
      <c r="C228" s="1">
        <v>68</v>
      </c>
      <c r="D228" s="1">
        <v>90</v>
      </c>
      <c r="E228" s="1">
        <v>65</v>
      </c>
      <c r="F228" s="1">
        <v>50</v>
      </c>
      <c r="G228" s="1">
        <v>55</v>
      </c>
      <c r="H228" s="1">
        <v>82</v>
      </c>
    </row>
    <row r="229" spans="1:8" x14ac:dyDescent="0.25">
      <c r="A229" s="3" t="s">
        <v>558</v>
      </c>
      <c r="B229" s="1">
        <v>518</v>
      </c>
      <c r="C229" s="1">
        <v>68</v>
      </c>
      <c r="D229" s="1">
        <v>125</v>
      </c>
      <c r="E229" s="1">
        <v>65</v>
      </c>
      <c r="F229" s="1">
        <v>65</v>
      </c>
      <c r="G229" s="1">
        <v>115</v>
      </c>
      <c r="H229" s="1">
        <v>80</v>
      </c>
    </row>
    <row r="230" spans="1:8" x14ac:dyDescent="0.25">
      <c r="A230" s="3" t="s">
        <v>689</v>
      </c>
      <c r="B230" s="1">
        <v>472</v>
      </c>
      <c r="C230" s="1">
        <v>70</v>
      </c>
      <c r="D230" s="1">
        <v>77</v>
      </c>
      <c r="E230" s="1">
        <v>60</v>
      </c>
      <c r="F230" s="1">
        <v>97</v>
      </c>
      <c r="G230" s="1">
        <v>60</v>
      </c>
      <c r="H230" s="1">
        <v>108</v>
      </c>
    </row>
    <row r="231" spans="1:8" x14ac:dyDescent="0.25">
      <c r="A231" s="3" t="s">
        <v>662</v>
      </c>
      <c r="B231" s="1">
        <v>474</v>
      </c>
      <c r="C231" s="1">
        <v>80</v>
      </c>
      <c r="D231" s="1">
        <v>95</v>
      </c>
      <c r="E231" s="1">
        <v>82</v>
      </c>
      <c r="F231" s="1">
        <v>60</v>
      </c>
      <c r="G231" s="1">
        <v>82</v>
      </c>
      <c r="H231" s="1">
        <v>75</v>
      </c>
    </row>
    <row r="232" spans="1:8" x14ac:dyDescent="0.25">
      <c r="A232" s="3" t="s">
        <v>525</v>
      </c>
      <c r="B232" s="1">
        <v>600</v>
      </c>
      <c r="C232" s="1">
        <v>108</v>
      </c>
      <c r="D232" s="1">
        <v>130</v>
      </c>
      <c r="E232" s="1">
        <v>95</v>
      </c>
      <c r="F232" s="1">
        <v>80</v>
      </c>
      <c r="G232" s="1">
        <v>85</v>
      </c>
      <c r="H232" s="1">
        <v>102</v>
      </c>
    </row>
    <row r="233" spans="1:8" x14ac:dyDescent="0.25">
      <c r="A233" s="3" t="s">
        <v>337</v>
      </c>
      <c r="B233" s="1">
        <v>518</v>
      </c>
      <c r="C233" s="1">
        <v>68</v>
      </c>
      <c r="D233" s="1">
        <v>65</v>
      </c>
      <c r="E233" s="1">
        <v>65</v>
      </c>
      <c r="F233" s="1">
        <v>125</v>
      </c>
      <c r="G233" s="1">
        <v>115</v>
      </c>
      <c r="H233" s="1">
        <v>80</v>
      </c>
    </row>
    <row r="234" spans="1:8" x14ac:dyDescent="0.25">
      <c r="A234" s="3" t="s">
        <v>129</v>
      </c>
      <c r="B234" s="1">
        <v>310</v>
      </c>
      <c r="C234" s="1">
        <v>30</v>
      </c>
      <c r="D234" s="1">
        <v>35</v>
      </c>
      <c r="E234" s="1">
        <v>30</v>
      </c>
      <c r="F234" s="1">
        <v>100</v>
      </c>
      <c r="G234" s="1">
        <v>35</v>
      </c>
      <c r="H234" s="1">
        <v>80</v>
      </c>
    </row>
    <row r="235" spans="1:8" x14ac:dyDescent="0.25">
      <c r="A235" s="3" t="s">
        <v>502</v>
      </c>
      <c r="B235" s="1">
        <v>475</v>
      </c>
      <c r="C235" s="1">
        <v>111</v>
      </c>
      <c r="D235" s="1">
        <v>83</v>
      </c>
      <c r="E235" s="1">
        <v>68</v>
      </c>
      <c r="F235" s="1">
        <v>92</v>
      </c>
      <c r="G235" s="1">
        <v>82</v>
      </c>
      <c r="H235" s="1">
        <v>39</v>
      </c>
    </row>
    <row r="236" spans="1:8" x14ac:dyDescent="0.25">
      <c r="A236" s="3" t="s">
        <v>749</v>
      </c>
      <c r="B236" s="1">
        <v>600</v>
      </c>
      <c r="C236" s="1">
        <v>71</v>
      </c>
      <c r="D236" s="1">
        <v>120</v>
      </c>
      <c r="E236" s="1">
        <v>95</v>
      </c>
      <c r="F236" s="1">
        <v>120</v>
      </c>
      <c r="G236" s="1">
        <v>95</v>
      </c>
      <c r="H236" s="1">
        <v>99</v>
      </c>
    </row>
    <row r="237" spans="1:8" x14ac:dyDescent="0.25">
      <c r="A237" s="3" t="s">
        <v>133</v>
      </c>
      <c r="B237" s="1">
        <v>500</v>
      </c>
      <c r="C237" s="1">
        <v>60</v>
      </c>
      <c r="D237" s="1">
        <v>65</v>
      </c>
      <c r="E237" s="1">
        <v>60</v>
      </c>
      <c r="F237" s="1">
        <v>130</v>
      </c>
      <c r="G237" s="1">
        <v>75</v>
      </c>
      <c r="H237" s="1">
        <v>110</v>
      </c>
    </row>
    <row r="238" spans="1:8" x14ac:dyDescent="0.25">
      <c r="A238" s="3" t="s">
        <v>107</v>
      </c>
      <c r="B238" s="1">
        <v>300</v>
      </c>
      <c r="C238" s="1">
        <v>40</v>
      </c>
      <c r="D238" s="1">
        <v>80</v>
      </c>
      <c r="E238" s="1">
        <v>100</v>
      </c>
      <c r="F238" s="1">
        <v>30</v>
      </c>
      <c r="G238" s="1">
        <v>30</v>
      </c>
      <c r="H238" s="1">
        <v>20</v>
      </c>
    </row>
    <row r="239" spans="1:8" x14ac:dyDescent="0.25">
      <c r="A239" s="3" t="s">
        <v>523</v>
      </c>
      <c r="B239" s="1">
        <v>300</v>
      </c>
      <c r="C239" s="1">
        <v>58</v>
      </c>
      <c r="D239" s="1">
        <v>70</v>
      </c>
      <c r="E239" s="1">
        <v>45</v>
      </c>
      <c r="F239" s="1">
        <v>40</v>
      </c>
      <c r="G239" s="1">
        <v>45</v>
      </c>
      <c r="H239" s="1">
        <v>42</v>
      </c>
    </row>
    <row r="240" spans="1:8" x14ac:dyDescent="0.25">
      <c r="A240" s="3" t="s">
        <v>617</v>
      </c>
      <c r="B240" s="1">
        <v>515</v>
      </c>
      <c r="C240" s="1">
        <v>85</v>
      </c>
      <c r="D240" s="1">
        <v>135</v>
      </c>
      <c r="E240" s="1">
        <v>130</v>
      </c>
      <c r="F240" s="1">
        <v>60</v>
      </c>
      <c r="G240" s="1">
        <v>80</v>
      </c>
      <c r="H240" s="1">
        <v>25</v>
      </c>
    </row>
    <row r="241" spans="1:8" x14ac:dyDescent="0.25">
      <c r="A241" s="3" t="s">
        <v>250</v>
      </c>
      <c r="B241" s="1">
        <v>455</v>
      </c>
      <c r="C241" s="1">
        <v>70</v>
      </c>
      <c r="D241" s="1">
        <v>80</v>
      </c>
      <c r="E241" s="1">
        <v>65</v>
      </c>
      <c r="F241" s="1">
        <v>90</v>
      </c>
      <c r="G241" s="1">
        <v>65</v>
      </c>
      <c r="H241" s="1">
        <v>85</v>
      </c>
    </row>
    <row r="242" spans="1:8" x14ac:dyDescent="0.25">
      <c r="A242" s="3" t="s">
        <v>576</v>
      </c>
      <c r="B242" s="1">
        <v>680</v>
      </c>
      <c r="C242" s="1">
        <v>150</v>
      </c>
      <c r="D242" s="1">
        <v>100</v>
      </c>
      <c r="E242" s="1">
        <v>120</v>
      </c>
      <c r="F242" s="1">
        <v>100</v>
      </c>
      <c r="G242" s="1">
        <v>120</v>
      </c>
      <c r="H242" s="1">
        <v>90</v>
      </c>
    </row>
    <row r="243" spans="1:8" x14ac:dyDescent="0.25">
      <c r="A243" s="3" t="s">
        <v>577</v>
      </c>
      <c r="B243" s="1">
        <v>680</v>
      </c>
      <c r="C243" s="1">
        <v>150</v>
      </c>
      <c r="D243" s="1">
        <v>120</v>
      </c>
      <c r="E243" s="1">
        <v>100</v>
      </c>
      <c r="F243" s="1">
        <v>120</v>
      </c>
      <c r="G243" s="1">
        <v>100</v>
      </c>
      <c r="H243" s="1">
        <v>90</v>
      </c>
    </row>
    <row r="244" spans="1:8" x14ac:dyDescent="0.25">
      <c r="A244" s="3" t="s">
        <v>554</v>
      </c>
      <c r="B244" s="1">
        <v>525</v>
      </c>
      <c r="C244" s="1">
        <v>65</v>
      </c>
      <c r="D244" s="1">
        <v>60</v>
      </c>
      <c r="E244" s="1">
        <v>110</v>
      </c>
      <c r="F244" s="1">
        <v>130</v>
      </c>
      <c r="G244" s="1">
        <v>95</v>
      </c>
      <c r="H244" s="1">
        <v>65</v>
      </c>
    </row>
    <row r="245" spans="1:8" x14ac:dyDescent="0.25">
      <c r="A245" s="3" t="s">
        <v>429</v>
      </c>
      <c r="B245" s="1">
        <v>480</v>
      </c>
      <c r="C245" s="1">
        <v>80</v>
      </c>
      <c r="D245" s="1">
        <v>80</v>
      </c>
      <c r="E245" s="1">
        <v>80</v>
      </c>
      <c r="F245" s="1">
        <v>80</v>
      </c>
      <c r="G245" s="1">
        <v>80</v>
      </c>
      <c r="H245" s="1">
        <v>80</v>
      </c>
    </row>
    <row r="246" spans="1:8" x14ac:dyDescent="0.25">
      <c r="A246" s="3" t="s">
        <v>511</v>
      </c>
      <c r="B246" s="1">
        <v>310</v>
      </c>
      <c r="C246" s="1">
        <v>49</v>
      </c>
      <c r="D246" s="1">
        <v>55</v>
      </c>
      <c r="E246" s="1">
        <v>42</v>
      </c>
      <c r="F246" s="1">
        <v>42</v>
      </c>
      <c r="G246" s="1">
        <v>37</v>
      </c>
      <c r="H246" s="1">
        <v>85</v>
      </c>
    </row>
    <row r="247" spans="1:8" x14ac:dyDescent="0.25">
      <c r="A247" s="3" t="s">
        <v>254</v>
      </c>
      <c r="B247" s="1">
        <v>430</v>
      </c>
      <c r="C247" s="1">
        <v>65</v>
      </c>
      <c r="D247" s="1">
        <v>75</v>
      </c>
      <c r="E247" s="1">
        <v>105</v>
      </c>
      <c r="F247" s="1">
        <v>35</v>
      </c>
      <c r="G247" s="1">
        <v>65</v>
      </c>
      <c r="H247" s="1">
        <v>85</v>
      </c>
    </row>
    <row r="248" spans="1:8" x14ac:dyDescent="0.25">
      <c r="A248" s="3" t="s">
        <v>555</v>
      </c>
      <c r="B248" s="1">
        <v>510</v>
      </c>
      <c r="C248" s="1">
        <v>75</v>
      </c>
      <c r="D248" s="1">
        <v>95</v>
      </c>
      <c r="E248" s="1">
        <v>125</v>
      </c>
      <c r="F248" s="1">
        <v>45</v>
      </c>
      <c r="G248" s="1">
        <v>75</v>
      </c>
      <c r="H248" s="1">
        <v>95</v>
      </c>
    </row>
    <row r="249" spans="1:8" x14ac:dyDescent="0.25">
      <c r="A249" s="3" t="s">
        <v>74</v>
      </c>
      <c r="B249" s="1">
        <v>395</v>
      </c>
      <c r="C249" s="1">
        <v>60</v>
      </c>
      <c r="D249" s="1">
        <v>65</v>
      </c>
      <c r="E249" s="1">
        <v>70</v>
      </c>
      <c r="F249" s="1">
        <v>85</v>
      </c>
      <c r="G249" s="1">
        <v>75</v>
      </c>
      <c r="H249" s="1">
        <v>40</v>
      </c>
    </row>
    <row r="250" spans="1:8" x14ac:dyDescent="0.25">
      <c r="A250" s="3" t="s">
        <v>773</v>
      </c>
      <c r="B250" s="1">
        <v>531</v>
      </c>
      <c r="C250" s="1">
        <v>123</v>
      </c>
      <c r="D250" s="1">
        <v>100</v>
      </c>
      <c r="E250" s="1">
        <v>62</v>
      </c>
      <c r="F250" s="1">
        <v>97</v>
      </c>
      <c r="G250" s="1">
        <v>81</v>
      </c>
      <c r="H250" s="1">
        <v>68</v>
      </c>
    </row>
    <row r="251" spans="1:8" x14ac:dyDescent="0.25">
      <c r="A251" s="3" t="s">
        <v>72</v>
      </c>
      <c r="B251" s="1">
        <v>455</v>
      </c>
      <c r="C251" s="1">
        <v>75</v>
      </c>
      <c r="D251" s="1">
        <v>80</v>
      </c>
      <c r="E251" s="1">
        <v>70</v>
      </c>
      <c r="F251" s="1">
        <v>65</v>
      </c>
      <c r="G251" s="1">
        <v>75</v>
      </c>
      <c r="H251" s="1">
        <v>90</v>
      </c>
    </row>
    <row r="252" spans="1:8" x14ac:dyDescent="0.25">
      <c r="A252" s="3" t="s">
        <v>158</v>
      </c>
      <c r="B252" s="1">
        <v>320</v>
      </c>
      <c r="C252" s="1">
        <v>45</v>
      </c>
      <c r="D252" s="1">
        <v>67</v>
      </c>
      <c r="E252" s="1">
        <v>60</v>
      </c>
      <c r="F252" s="1">
        <v>35</v>
      </c>
      <c r="G252" s="1">
        <v>50</v>
      </c>
      <c r="H252" s="1">
        <v>63</v>
      </c>
    </row>
    <row r="253" spans="1:8" x14ac:dyDescent="0.25">
      <c r="A253" s="3" t="s">
        <v>85</v>
      </c>
      <c r="B253" s="1">
        <v>500</v>
      </c>
      <c r="C253" s="1">
        <v>80</v>
      </c>
      <c r="D253" s="1">
        <v>82</v>
      </c>
      <c r="E253" s="1">
        <v>78</v>
      </c>
      <c r="F253" s="1">
        <v>95</v>
      </c>
      <c r="G253" s="1">
        <v>80</v>
      </c>
      <c r="H253" s="1">
        <v>85</v>
      </c>
    </row>
    <row r="254" spans="1:8" x14ac:dyDescent="0.25">
      <c r="A254" s="3" t="s">
        <v>110</v>
      </c>
      <c r="B254" s="1">
        <v>495</v>
      </c>
      <c r="C254" s="1">
        <v>80</v>
      </c>
      <c r="D254" s="1">
        <v>120</v>
      </c>
      <c r="E254" s="1">
        <v>130</v>
      </c>
      <c r="F254" s="1">
        <v>55</v>
      </c>
      <c r="G254" s="1">
        <v>65</v>
      </c>
      <c r="H254" s="1">
        <v>45</v>
      </c>
    </row>
    <row r="255" spans="1:8" x14ac:dyDescent="0.25">
      <c r="A255" s="3" t="s">
        <v>715</v>
      </c>
      <c r="B255" s="1">
        <v>303</v>
      </c>
      <c r="C255" s="1">
        <v>59</v>
      </c>
      <c r="D255" s="1">
        <v>74</v>
      </c>
      <c r="E255" s="1">
        <v>50</v>
      </c>
      <c r="F255" s="1">
        <v>35</v>
      </c>
      <c r="G255" s="1">
        <v>50</v>
      </c>
      <c r="H255" s="1">
        <v>35</v>
      </c>
    </row>
    <row r="256" spans="1:8" x14ac:dyDescent="0.25">
      <c r="A256" s="3" t="s">
        <v>716</v>
      </c>
      <c r="B256" s="1">
        <v>483</v>
      </c>
      <c r="C256" s="1">
        <v>89</v>
      </c>
      <c r="D256" s="1">
        <v>124</v>
      </c>
      <c r="E256" s="1">
        <v>80</v>
      </c>
      <c r="F256" s="1">
        <v>55</v>
      </c>
      <c r="G256" s="1">
        <v>80</v>
      </c>
      <c r="H256" s="1">
        <v>55</v>
      </c>
    </row>
    <row r="257" spans="1:8" x14ac:dyDescent="0.25">
      <c r="A257" s="3" t="s">
        <v>808</v>
      </c>
      <c r="B257" s="1">
        <v>600</v>
      </c>
      <c r="C257" s="1">
        <v>90</v>
      </c>
      <c r="D257" s="1">
        <v>100</v>
      </c>
      <c r="E257" s="1">
        <v>70</v>
      </c>
      <c r="F257" s="1">
        <v>110</v>
      </c>
      <c r="G257" s="1">
        <v>150</v>
      </c>
      <c r="H257" s="1">
        <v>80</v>
      </c>
    </row>
    <row r="258" spans="1:8" x14ac:dyDescent="0.25">
      <c r="A258" s="3" t="s">
        <v>806</v>
      </c>
      <c r="B258" s="1">
        <v>300</v>
      </c>
      <c r="C258" s="1">
        <v>45</v>
      </c>
      <c r="D258" s="1">
        <v>50</v>
      </c>
      <c r="E258" s="1">
        <v>35</v>
      </c>
      <c r="F258" s="1">
        <v>55</v>
      </c>
      <c r="G258" s="1">
        <v>75</v>
      </c>
      <c r="H258" s="1">
        <v>40</v>
      </c>
    </row>
    <row r="259" spans="1:8" x14ac:dyDescent="0.25">
      <c r="A259" s="3" t="s">
        <v>435</v>
      </c>
      <c r="B259" s="1">
        <v>485</v>
      </c>
      <c r="C259" s="1">
        <v>55</v>
      </c>
      <c r="D259" s="1">
        <v>84</v>
      </c>
      <c r="E259" s="1">
        <v>105</v>
      </c>
      <c r="F259" s="1">
        <v>114</v>
      </c>
      <c r="G259" s="1">
        <v>75</v>
      </c>
      <c r="H259" s="1">
        <v>52</v>
      </c>
    </row>
    <row r="260" spans="1:8" x14ac:dyDescent="0.25">
      <c r="A260" s="3" t="s">
        <v>667</v>
      </c>
      <c r="B260" s="1">
        <v>290</v>
      </c>
      <c r="C260" s="1">
        <v>45</v>
      </c>
      <c r="D260" s="1">
        <v>30</v>
      </c>
      <c r="E260" s="1">
        <v>50</v>
      </c>
      <c r="F260" s="1">
        <v>55</v>
      </c>
      <c r="G260" s="1">
        <v>65</v>
      </c>
      <c r="H260" s="1">
        <v>45</v>
      </c>
    </row>
    <row r="261" spans="1:8" x14ac:dyDescent="0.25">
      <c r="A261" s="3" t="s">
        <v>669</v>
      </c>
      <c r="B261" s="1">
        <v>490</v>
      </c>
      <c r="C261" s="1">
        <v>70</v>
      </c>
      <c r="D261" s="1">
        <v>55</v>
      </c>
      <c r="E261" s="1">
        <v>95</v>
      </c>
      <c r="F261" s="1">
        <v>95</v>
      </c>
      <c r="G261" s="1">
        <v>110</v>
      </c>
      <c r="H261" s="1">
        <v>65</v>
      </c>
    </row>
    <row r="262" spans="1:8" x14ac:dyDescent="0.25">
      <c r="A262" s="3" t="s">
        <v>668</v>
      </c>
      <c r="B262" s="1">
        <v>390</v>
      </c>
      <c r="C262" s="1">
        <v>60</v>
      </c>
      <c r="D262" s="1">
        <v>45</v>
      </c>
      <c r="E262" s="1">
        <v>70</v>
      </c>
      <c r="F262" s="1">
        <v>75</v>
      </c>
      <c r="G262" s="1">
        <v>85</v>
      </c>
      <c r="H262" s="1">
        <v>55</v>
      </c>
    </row>
    <row r="263" spans="1:8" x14ac:dyDescent="0.25">
      <c r="A263" s="3" t="s">
        <v>818</v>
      </c>
      <c r="B263" s="1">
        <v>494</v>
      </c>
      <c r="C263" s="1">
        <v>65</v>
      </c>
      <c r="D263" s="1">
        <v>90</v>
      </c>
      <c r="E263" s="1">
        <v>122</v>
      </c>
      <c r="F263" s="1">
        <v>58</v>
      </c>
      <c r="G263" s="1">
        <v>75</v>
      </c>
      <c r="H263" s="1">
        <v>84</v>
      </c>
    </row>
    <row r="264" spans="1:8" x14ac:dyDescent="0.25">
      <c r="A264" s="3" t="s">
        <v>819</v>
      </c>
      <c r="B264" s="1">
        <v>494</v>
      </c>
      <c r="C264" s="1">
        <v>75</v>
      </c>
      <c r="D264" s="1">
        <v>95</v>
      </c>
      <c r="E264" s="1">
        <v>122</v>
      </c>
      <c r="F264" s="1">
        <v>58</v>
      </c>
      <c r="G264" s="1">
        <v>75</v>
      </c>
      <c r="H264" s="1">
        <v>69</v>
      </c>
    </row>
    <row r="265" spans="1:8" x14ac:dyDescent="0.25">
      <c r="A265" s="3" t="s">
        <v>816</v>
      </c>
      <c r="B265" s="1">
        <v>494</v>
      </c>
      <c r="C265" s="1">
        <v>55</v>
      </c>
      <c r="D265" s="1">
        <v>85</v>
      </c>
      <c r="E265" s="1">
        <v>122</v>
      </c>
      <c r="F265" s="1">
        <v>58</v>
      </c>
      <c r="G265" s="1">
        <v>75</v>
      </c>
      <c r="H265" s="1">
        <v>99</v>
      </c>
    </row>
    <row r="266" spans="1:8" x14ac:dyDescent="0.25">
      <c r="A266" s="3" t="s">
        <v>817</v>
      </c>
      <c r="B266" s="1">
        <v>494</v>
      </c>
      <c r="C266" s="1">
        <v>85</v>
      </c>
      <c r="D266" s="1">
        <v>100</v>
      </c>
      <c r="E266" s="1">
        <v>122</v>
      </c>
      <c r="F266" s="1">
        <v>58</v>
      </c>
      <c r="G266" s="1">
        <v>75</v>
      </c>
      <c r="H266" s="1">
        <v>54</v>
      </c>
    </row>
    <row r="267" spans="1:8" x14ac:dyDescent="0.25">
      <c r="A267" s="3" t="s">
        <v>258</v>
      </c>
      <c r="B267" s="1">
        <v>450</v>
      </c>
      <c r="C267" s="1">
        <v>90</v>
      </c>
      <c r="D267" s="1">
        <v>120</v>
      </c>
      <c r="E267" s="1">
        <v>75</v>
      </c>
      <c r="F267" s="1">
        <v>60</v>
      </c>
      <c r="G267" s="1">
        <v>60</v>
      </c>
      <c r="H267" s="1">
        <v>45</v>
      </c>
    </row>
    <row r="268" spans="1:8" x14ac:dyDescent="0.25">
      <c r="A268" s="3" t="s">
        <v>109</v>
      </c>
      <c r="B268" s="1">
        <v>390</v>
      </c>
      <c r="C268" s="1">
        <v>55</v>
      </c>
      <c r="D268" s="1">
        <v>95</v>
      </c>
      <c r="E268" s="1">
        <v>115</v>
      </c>
      <c r="F268" s="1">
        <v>45</v>
      </c>
      <c r="G268" s="1">
        <v>45</v>
      </c>
      <c r="H268" s="1">
        <v>35</v>
      </c>
    </row>
    <row r="269" spans="1:8" x14ac:dyDescent="0.25">
      <c r="A269" s="3" t="s">
        <v>758</v>
      </c>
      <c r="B269" s="1">
        <v>530</v>
      </c>
      <c r="C269" s="1">
        <v>72</v>
      </c>
      <c r="D269" s="1">
        <v>95</v>
      </c>
      <c r="E269" s="1">
        <v>67</v>
      </c>
      <c r="F269" s="1">
        <v>103</v>
      </c>
      <c r="G269" s="1">
        <v>71</v>
      </c>
      <c r="H269" s="1">
        <v>122</v>
      </c>
    </row>
    <row r="270" spans="1:8" x14ac:dyDescent="0.25">
      <c r="A270" s="3" t="s">
        <v>125</v>
      </c>
      <c r="B270" s="1">
        <v>325</v>
      </c>
      <c r="C270" s="1">
        <v>80</v>
      </c>
      <c r="D270" s="1">
        <v>80</v>
      </c>
      <c r="E270" s="1">
        <v>50</v>
      </c>
      <c r="F270" s="1">
        <v>40</v>
      </c>
      <c r="G270" s="1">
        <v>50</v>
      </c>
      <c r="H270" s="1">
        <v>25</v>
      </c>
    </row>
    <row r="271" spans="1:8" x14ac:dyDescent="0.25">
      <c r="A271" s="3" t="s">
        <v>465</v>
      </c>
      <c r="B271" s="1">
        <v>405</v>
      </c>
      <c r="C271" s="1">
        <v>75</v>
      </c>
      <c r="D271" s="1">
        <v>89</v>
      </c>
      <c r="E271" s="1">
        <v>85</v>
      </c>
      <c r="F271" s="1">
        <v>55</v>
      </c>
      <c r="G271" s="1">
        <v>65</v>
      </c>
      <c r="H271" s="1">
        <v>36</v>
      </c>
    </row>
    <row r="272" spans="1:8" x14ac:dyDescent="0.25">
      <c r="A272" s="3" t="s">
        <v>456</v>
      </c>
      <c r="B272" s="1">
        <v>670</v>
      </c>
      <c r="C272" s="1">
        <v>100</v>
      </c>
      <c r="D272" s="1">
        <v>150</v>
      </c>
      <c r="E272" s="1">
        <v>140</v>
      </c>
      <c r="F272" s="1">
        <v>100</v>
      </c>
      <c r="G272" s="1">
        <v>90</v>
      </c>
      <c r="H272" s="1">
        <v>90</v>
      </c>
    </row>
    <row r="273" spans="1:8" x14ac:dyDescent="0.25">
      <c r="A273" s="3" t="s">
        <v>455</v>
      </c>
      <c r="B273" s="1">
        <v>770</v>
      </c>
      <c r="C273" s="1">
        <v>100</v>
      </c>
      <c r="D273" s="1">
        <v>180</v>
      </c>
      <c r="E273" s="1">
        <v>160</v>
      </c>
      <c r="F273" s="1">
        <v>150</v>
      </c>
      <c r="G273" s="1">
        <v>90</v>
      </c>
      <c r="H273" s="1">
        <v>90</v>
      </c>
    </row>
    <row r="274" spans="1:8" x14ac:dyDescent="0.25">
      <c r="A274" s="3" t="s">
        <v>305</v>
      </c>
      <c r="B274" s="1">
        <v>405</v>
      </c>
      <c r="C274" s="1">
        <v>50</v>
      </c>
      <c r="D274" s="1">
        <v>65</v>
      </c>
      <c r="E274" s="1">
        <v>45</v>
      </c>
      <c r="F274" s="1">
        <v>85</v>
      </c>
      <c r="G274" s="1">
        <v>65</v>
      </c>
      <c r="H274" s="1">
        <v>95</v>
      </c>
    </row>
    <row r="275" spans="1:8" x14ac:dyDescent="0.25">
      <c r="A275" s="3" t="s">
        <v>89</v>
      </c>
      <c r="B275" s="1">
        <v>350</v>
      </c>
      <c r="C275" s="1">
        <v>55</v>
      </c>
      <c r="D275" s="1">
        <v>70</v>
      </c>
      <c r="E275" s="1">
        <v>45</v>
      </c>
      <c r="F275" s="1">
        <v>70</v>
      </c>
      <c r="G275" s="1">
        <v>50</v>
      </c>
      <c r="H275" s="1">
        <v>60</v>
      </c>
    </row>
    <row r="276" spans="1:8" x14ac:dyDescent="0.25">
      <c r="A276" s="3" t="s">
        <v>389</v>
      </c>
      <c r="B276" s="1">
        <v>470</v>
      </c>
      <c r="C276" s="1">
        <v>80</v>
      </c>
      <c r="D276" s="1">
        <v>45</v>
      </c>
      <c r="E276" s="1">
        <v>65</v>
      </c>
      <c r="F276" s="1">
        <v>90</v>
      </c>
      <c r="G276" s="1">
        <v>110</v>
      </c>
      <c r="H276" s="1">
        <v>80</v>
      </c>
    </row>
    <row r="277" spans="1:8" x14ac:dyDescent="0.25">
      <c r="A277" s="3" t="s">
        <v>377</v>
      </c>
      <c r="B277" s="1">
        <v>302</v>
      </c>
      <c r="C277" s="1">
        <v>70</v>
      </c>
      <c r="D277" s="1">
        <v>43</v>
      </c>
      <c r="E277" s="1">
        <v>53</v>
      </c>
      <c r="F277" s="1">
        <v>43</v>
      </c>
      <c r="G277" s="1">
        <v>53</v>
      </c>
      <c r="H277" s="1">
        <v>40</v>
      </c>
    </row>
    <row r="278" spans="1:8" x14ac:dyDescent="0.25">
      <c r="A278" s="3" t="s">
        <v>625</v>
      </c>
      <c r="B278" s="1">
        <v>405</v>
      </c>
      <c r="C278" s="1">
        <v>85</v>
      </c>
      <c r="D278" s="1">
        <v>105</v>
      </c>
      <c r="E278" s="1">
        <v>85</v>
      </c>
      <c r="F278" s="1">
        <v>40</v>
      </c>
      <c r="G278" s="1">
        <v>50</v>
      </c>
      <c r="H278" s="1">
        <v>40</v>
      </c>
    </row>
    <row r="279" spans="1:8" x14ac:dyDescent="0.25">
      <c r="A279" s="3" t="s">
        <v>173</v>
      </c>
      <c r="B279" s="1">
        <v>540</v>
      </c>
      <c r="C279" s="1">
        <v>95</v>
      </c>
      <c r="D279" s="1">
        <v>125</v>
      </c>
      <c r="E279" s="1">
        <v>79</v>
      </c>
      <c r="F279" s="1">
        <v>60</v>
      </c>
      <c r="G279" s="1">
        <v>100</v>
      </c>
      <c r="H279" s="1">
        <v>81</v>
      </c>
    </row>
    <row r="280" spans="1:8" x14ac:dyDescent="0.25">
      <c r="A280" s="3" t="s">
        <v>520</v>
      </c>
      <c r="B280" s="1">
        <v>220</v>
      </c>
      <c r="C280" s="1">
        <v>100</v>
      </c>
      <c r="D280" s="1">
        <v>5</v>
      </c>
      <c r="E280" s="1">
        <v>5</v>
      </c>
      <c r="F280" s="1">
        <v>15</v>
      </c>
      <c r="G280" s="1">
        <v>65</v>
      </c>
      <c r="H280" s="1">
        <v>30</v>
      </c>
    </row>
    <row r="281" spans="1:8" x14ac:dyDescent="0.25">
      <c r="A281" s="3" t="s">
        <v>353</v>
      </c>
      <c r="B281" s="1">
        <v>474</v>
      </c>
      <c r="C281" s="1">
        <v>144</v>
      </c>
      <c r="D281" s="1">
        <v>120</v>
      </c>
      <c r="E281" s="1">
        <v>60</v>
      </c>
      <c r="F281" s="1">
        <v>40</v>
      </c>
      <c r="G281" s="1">
        <v>60</v>
      </c>
      <c r="H281" s="1">
        <v>50</v>
      </c>
    </row>
    <row r="282" spans="1:8" x14ac:dyDescent="0.25">
      <c r="A282" s="3" t="s">
        <v>131</v>
      </c>
      <c r="B282" s="1">
        <v>405</v>
      </c>
      <c r="C282" s="1">
        <v>45</v>
      </c>
      <c r="D282" s="1">
        <v>50</v>
      </c>
      <c r="E282" s="1">
        <v>45</v>
      </c>
      <c r="F282" s="1">
        <v>115</v>
      </c>
      <c r="G282" s="1">
        <v>55</v>
      </c>
      <c r="H282" s="1">
        <v>95</v>
      </c>
    </row>
    <row r="283" spans="1:8" x14ac:dyDescent="0.25">
      <c r="A283" s="3" t="s">
        <v>803</v>
      </c>
      <c r="B283" s="1">
        <v>500</v>
      </c>
      <c r="C283" s="1">
        <v>78</v>
      </c>
      <c r="D283" s="1">
        <v>92</v>
      </c>
      <c r="E283" s="1">
        <v>75</v>
      </c>
      <c r="F283" s="1">
        <v>74</v>
      </c>
      <c r="G283" s="1">
        <v>63</v>
      </c>
      <c r="H283" s="1">
        <v>118</v>
      </c>
    </row>
    <row r="284" spans="1:8" x14ac:dyDescent="0.25">
      <c r="A284" s="3" t="s">
        <v>705</v>
      </c>
      <c r="B284" s="1">
        <v>540</v>
      </c>
      <c r="C284" s="1">
        <v>76</v>
      </c>
      <c r="D284" s="1">
        <v>147</v>
      </c>
      <c r="E284" s="1">
        <v>90</v>
      </c>
      <c r="F284" s="1">
        <v>60</v>
      </c>
      <c r="G284" s="1">
        <v>70</v>
      </c>
      <c r="H284" s="1">
        <v>97</v>
      </c>
    </row>
    <row r="285" spans="1:8" x14ac:dyDescent="0.25">
      <c r="A285" s="3" t="s">
        <v>724</v>
      </c>
      <c r="B285" s="1">
        <v>484</v>
      </c>
      <c r="C285" s="1">
        <v>85</v>
      </c>
      <c r="D285" s="1">
        <v>97</v>
      </c>
      <c r="E285" s="1">
        <v>66</v>
      </c>
      <c r="F285" s="1">
        <v>105</v>
      </c>
      <c r="G285" s="1">
        <v>66</v>
      </c>
      <c r="H285" s="1">
        <v>65</v>
      </c>
    </row>
    <row r="286" spans="1:8" x14ac:dyDescent="0.25">
      <c r="A286" s="3" t="s">
        <v>574</v>
      </c>
      <c r="B286" s="1">
        <v>600</v>
      </c>
      <c r="C286" s="1">
        <v>91</v>
      </c>
      <c r="D286" s="1">
        <v>90</v>
      </c>
      <c r="E286" s="1">
        <v>106</v>
      </c>
      <c r="F286" s="1">
        <v>130</v>
      </c>
      <c r="G286" s="1">
        <v>106</v>
      </c>
      <c r="H286" s="1">
        <v>77</v>
      </c>
    </row>
    <row r="287" spans="1:8" x14ac:dyDescent="0.25">
      <c r="A287" s="3" t="s">
        <v>797</v>
      </c>
      <c r="B287" s="1">
        <v>481</v>
      </c>
      <c r="C287" s="1">
        <v>62</v>
      </c>
      <c r="D287" s="1">
        <v>55</v>
      </c>
      <c r="E287" s="1">
        <v>52</v>
      </c>
      <c r="F287" s="1">
        <v>109</v>
      </c>
      <c r="G287" s="1">
        <v>94</v>
      </c>
      <c r="H287" s="1">
        <v>109</v>
      </c>
    </row>
    <row r="288" spans="1:8" x14ac:dyDescent="0.25">
      <c r="A288" s="3" t="s">
        <v>796</v>
      </c>
      <c r="B288" s="1">
        <v>289</v>
      </c>
      <c r="C288" s="1">
        <v>44</v>
      </c>
      <c r="D288" s="1">
        <v>38</v>
      </c>
      <c r="E288" s="1">
        <v>33</v>
      </c>
      <c r="F288" s="1">
        <v>61</v>
      </c>
      <c r="G288" s="1">
        <v>43</v>
      </c>
      <c r="H288" s="1">
        <v>70</v>
      </c>
    </row>
    <row r="289" spans="1:8" x14ac:dyDescent="0.25">
      <c r="A289" s="3" t="s">
        <v>263</v>
      </c>
      <c r="B289" s="1">
        <v>500</v>
      </c>
      <c r="C289" s="1">
        <v>80</v>
      </c>
      <c r="D289" s="1">
        <v>125</v>
      </c>
      <c r="E289" s="1">
        <v>75</v>
      </c>
      <c r="F289" s="1">
        <v>40</v>
      </c>
      <c r="G289" s="1">
        <v>95</v>
      </c>
      <c r="H289" s="1">
        <v>85</v>
      </c>
    </row>
    <row r="290" spans="1:8" x14ac:dyDescent="0.25">
      <c r="A290" s="3" t="s">
        <v>598</v>
      </c>
      <c r="B290" s="1">
        <v>370</v>
      </c>
      <c r="C290" s="1">
        <v>65</v>
      </c>
      <c r="D290" s="1">
        <v>80</v>
      </c>
      <c r="E290" s="1">
        <v>65</v>
      </c>
      <c r="F290" s="1">
        <v>35</v>
      </c>
      <c r="G290" s="1">
        <v>65</v>
      </c>
      <c r="H290" s="1">
        <v>60</v>
      </c>
    </row>
    <row r="291" spans="1:8" x14ac:dyDescent="0.25">
      <c r="A291" s="3" t="s">
        <v>531</v>
      </c>
      <c r="B291" s="1">
        <v>330</v>
      </c>
      <c r="C291" s="1">
        <v>68</v>
      </c>
      <c r="D291" s="1">
        <v>72</v>
      </c>
      <c r="E291" s="1">
        <v>78</v>
      </c>
      <c r="F291" s="1">
        <v>38</v>
      </c>
      <c r="G291" s="1">
        <v>42</v>
      </c>
      <c r="H291" s="1">
        <v>32</v>
      </c>
    </row>
    <row r="292" spans="1:8" x14ac:dyDescent="0.25">
      <c r="A292" s="3" t="s">
        <v>532</v>
      </c>
      <c r="B292" s="1">
        <v>525</v>
      </c>
      <c r="C292" s="1">
        <v>108</v>
      </c>
      <c r="D292" s="1">
        <v>112</v>
      </c>
      <c r="E292" s="1">
        <v>118</v>
      </c>
      <c r="F292" s="1">
        <v>68</v>
      </c>
      <c r="G292" s="1">
        <v>72</v>
      </c>
      <c r="H292" s="1">
        <v>47</v>
      </c>
    </row>
    <row r="293" spans="1:8" x14ac:dyDescent="0.25">
      <c r="A293" s="3" t="s">
        <v>146</v>
      </c>
      <c r="B293" s="1">
        <v>455</v>
      </c>
      <c r="C293" s="1">
        <v>50</v>
      </c>
      <c r="D293" s="1">
        <v>105</v>
      </c>
      <c r="E293" s="1">
        <v>79</v>
      </c>
      <c r="F293" s="1">
        <v>35</v>
      </c>
      <c r="G293" s="1">
        <v>110</v>
      </c>
      <c r="H293" s="1">
        <v>76</v>
      </c>
    </row>
    <row r="294" spans="1:8" x14ac:dyDescent="0.25">
      <c r="A294" s="3" t="s">
        <v>145</v>
      </c>
      <c r="B294" s="1">
        <v>455</v>
      </c>
      <c r="C294" s="1">
        <v>50</v>
      </c>
      <c r="D294" s="1">
        <v>120</v>
      </c>
      <c r="E294" s="1">
        <v>53</v>
      </c>
      <c r="F294" s="1">
        <v>35</v>
      </c>
      <c r="G294" s="1">
        <v>110</v>
      </c>
      <c r="H294" s="1">
        <v>87</v>
      </c>
    </row>
    <row r="295" spans="1:8" x14ac:dyDescent="0.25">
      <c r="A295" s="3" t="s">
        <v>288</v>
      </c>
      <c r="B295" s="1">
        <v>455</v>
      </c>
      <c r="C295" s="1">
        <v>50</v>
      </c>
      <c r="D295" s="1">
        <v>95</v>
      </c>
      <c r="E295" s="1">
        <v>95</v>
      </c>
      <c r="F295" s="1">
        <v>35</v>
      </c>
      <c r="G295" s="1">
        <v>110</v>
      </c>
      <c r="H295" s="1">
        <v>70</v>
      </c>
    </row>
    <row r="296" spans="1:8" x14ac:dyDescent="0.25">
      <c r="A296" s="3" t="s">
        <v>510</v>
      </c>
      <c r="B296" s="1">
        <v>505</v>
      </c>
      <c r="C296" s="1">
        <v>100</v>
      </c>
      <c r="D296" s="1">
        <v>125</v>
      </c>
      <c r="E296" s="1">
        <v>52</v>
      </c>
      <c r="F296" s="1">
        <v>105</v>
      </c>
      <c r="G296" s="1">
        <v>52</v>
      </c>
      <c r="H296" s="1">
        <v>71</v>
      </c>
    </row>
    <row r="297" spans="1:8" x14ac:dyDescent="0.25">
      <c r="A297" s="3" t="s">
        <v>780</v>
      </c>
      <c r="B297" s="1">
        <v>325</v>
      </c>
      <c r="C297" s="1">
        <v>45</v>
      </c>
      <c r="D297" s="1">
        <v>80</v>
      </c>
      <c r="E297" s="1">
        <v>100</v>
      </c>
      <c r="F297" s="1">
        <v>35</v>
      </c>
      <c r="G297" s="1">
        <v>37</v>
      </c>
      <c r="H297" s="1">
        <v>28</v>
      </c>
    </row>
    <row r="298" spans="1:8" x14ac:dyDescent="0.25">
      <c r="A298" s="3" t="s">
        <v>302</v>
      </c>
      <c r="B298" s="1">
        <v>680</v>
      </c>
      <c r="C298" s="1">
        <v>106</v>
      </c>
      <c r="D298" s="1">
        <v>130</v>
      </c>
      <c r="E298" s="1">
        <v>90</v>
      </c>
      <c r="F298" s="1">
        <v>110</v>
      </c>
      <c r="G298" s="1">
        <v>154</v>
      </c>
      <c r="H298" s="1">
        <v>90</v>
      </c>
    </row>
    <row r="299" spans="1:8" x14ac:dyDescent="0.25">
      <c r="A299" s="3" t="s">
        <v>829</v>
      </c>
      <c r="B299" s="1">
        <v>600</v>
      </c>
      <c r="C299" s="1">
        <v>80</v>
      </c>
      <c r="D299" s="1">
        <v>110</v>
      </c>
      <c r="E299" s="1">
        <v>60</v>
      </c>
      <c r="F299" s="1">
        <v>150</v>
      </c>
      <c r="G299" s="1">
        <v>130</v>
      </c>
      <c r="H299" s="1">
        <v>70</v>
      </c>
    </row>
    <row r="300" spans="1:8" x14ac:dyDescent="0.25">
      <c r="A300" s="3" t="s">
        <v>830</v>
      </c>
      <c r="B300" s="1">
        <v>680</v>
      </c>
      <c r="C300" s="1">
        <v>80</v>
      </c>
      <c r="D300" s="1">
        <v>160</v>
      </c>
      <c r="E300" s="1">
        <v>60</v>
      </c>
      <c r="F300" s="1">
        <v>170</v>
      </c>
      <c r="G300" s="1">
        <v>130</v>
      </c>
      <c r="H300" s="1">
        <v>80</v>
      </c>
    </row>
    <row r="301" spans="1:8" x14ac:dyDescent="0.25">
      <c r="A301" s="3" t="s">
        <v>209</v>
      </c>
      <c r="B301" s="1">
        <v>262</v>
      </c>
      <c r="C301" s="1">
        <v>60</v>
      </c>
      <c r="D301" s="1">
        <v>30</v>
      </c>
      <c r="E301" s="1">
        <v>30</v>
      </c>
      <c r="F301" s="1">
        <v>36</v>
      </c>
      <c r="G301" s="1">
        <v>56</v>
      </c>
      <c r="H301" s="1">
        <v>50</v>
      </c>
    </row>
    <row r="302" spans="1:8" x14ac:dyDescent="0.25">
      <c r="A302" s="3" t="s">
        <v>234</v>
      </c>
      <c r="B302" s="1">
        <v>250</v>
      </c>
      <c r="C302" s="1">
        <v>35</v>
      </c>
      <c r="D302" s="1">
        <v>35</v>
      </c>
      <c r="E302" s="1">
        <v>40</v>
      </c>
      <c r="F302" s="1">
        <v>35</v>
      </c>
      <c r="G302" s="1">
        <v>55</v>
      </c>
      <c r="H302" s="1">
        <v>50</v>
      </c>
    </row>
    <row r="303" spans="1:8" x14ac:dyDescent="0.25">
      <c r="A303" s="3" t="s">
        <v>156</v>
      </c>
      <c r="B303" s="1">
        <v>295</v>
      </c>
      <c r="C303" s="1">
        <v>30</v>
      </c>
      <c r="D303" s="1">
        <v>40</v>
      </c>
      <c r="E303" s="1">
        <v>70</v>
      </c>
      <c r="F303" s="1">
        <v>70</v>
      </c>
      <c r="G303" s="1">
        <v>25</v>
      </c>
      <c r="H303" s="1">
        <v>60</v>
      </c>
    </row>
    <row r="304" spans="1:8" x14ac:dyDescent="0.25">
      <c r="A304" s="3" t="s">
        <v>279</v>
      </c>
      <c r="B304" s="1">
        <v>500</v>
      </c>
      <c r="C304" s="1">
        <v>75</v>
      </c>
      <c r="D304" s="1">
        <v>90</v>
      </c>
      <c r="E304" s="1">
        <v>50</v>
      </c>
      <c r="F304" s="1">
        <v>110</v>
      </c>
      <c r="G304" s="1">
        <v>80</v>
      </c>
      <c r="H304" s="1">
        <v>95</v>
      </c>
    </row>
    <row r="305" spans="1:8" x14ac:dyDescent="0.25">
      <c r="A305" s="3" t="s">
        <v>278</v>
      </c>
      <c r="B305" s="1">
        <v>330</v>
      </c>
      <c r="C305" s="1">
        <v>45</v>
      </c>
      <c r="D305" s="1">
        <v>60</v>
      </c>
      <c r="E305" s="1">
        <v>30</v>
      </c>
      <c r="F305" s="1">
        <v>80</v>
      </c>
      <c r="G305" s="1">
        <v>50</v>
      </c>
      <c r="H305" s="1">
        <v>65</v>
      </c>
    </row>
    <row r="306" spans="1:8" x14ac:dyDescent="0.25">
      <c r="A306" s="3" t="s">
        <v>434</v>
      </c>
      <c r="B306" s="1">
        <v>485</v>
      </c>
      <c r="C306" s="1">
        <v>55</v>
      </c>
      <c r="D306" s="1">
        <v>104</v>
      </c>
      <c r="E306" s="1">
        <v>105</v>
      </c>
      <c r="F306" s="1">
        <v>94</v>
      </c>
      <c r="G306" s="1">
        <v>75</v>
      </c>
      <c r="H306" s="1">
        <v>52</v>
      </c>
    </row>
    <row r="307" spans="1:8" x14ac:dyDescent="0.25">
      <c r="A307" s="3" t="s">
        <v>728</v>
      </c>
      <c r="B307" s="1">
        <v>600</v>
      </c>
      <c r="C307" s="1">
        <v>92</v>
      </c>
      <c r="D307" s="1">
        <v>105</v>
      </c>
      <c r="E307" s="1">
        <v>90</v>
      </c>
      <c r="F307" s="1">
        <v>125</v>
      </c>
      <c r="G307" s="1">
        <v>90</v>
      </c>
      <c r="H307" s="1">
        <v>98</v>
      </c>
    </row>
    <row r="308" spans="1:8" x14ac:dyDescent="0.25">
      <c r="A308" s="3" t="s">
        <v>136</v>
      </c>
      <c r="B308" s="1">
        <v>483</v>
      </c>
      <c r="C308" s="1">
        <v>85</v>
      </c>
      <c r="D308" s="1">
        <v>73</v>
      </c>
      <c r="E308" s="1">
        <v>70</v>
      </c>
      <c r="F308" s="1">
        <v>73</v>
      </c>
      <c r="G308" s="1">
        <v>115</v>
      </c>
      <c r="H308" s="1">
        <v>67</v>
      </c>
    </row>
    <row r="309" spans="1:8" x14ac:dyDescent="0.25">
      <c r="A309" s="3" t="s">
        <v>220</v>
      </c>
      <c r="B309" s="1">
        <v>210</v>
      </c>
      <c r="C309" s="1">
        <v>90</v>
      </c>
      <c r="D309" s="1">
        <v>30</v>
      </c>
      <c r="E309" s="1">
        <v>15</v>
      </c>
      <c r="F309" s="1">
        <v>40</v>
      </c>
      <c r="G309" s="1">
        <v>20</v>
      </c>
      <c r="H309" s="1">
        <v>15</v>
      </c>
    </row>
    <row r="310" spans="1:8" x14ac:dyDescent="0.25">
      <c r="A310" s="3" t="s">
        <v>375</v>
      </c>
      <c r="B310" s="1">
        <v>400</v>
      </c>
      <c r="C310" s="1">
        <v>65</v>
      </c>
      <c r="D310" s="1">
        <v>47</v>
      </c>
      <c r="E310" s="1">
        <v>55</v>
      </c>
      <c r="F310" s="1">
        <v>73</v>
      </c>
      <c r="G310" s="1">
        <v>75</v>
      </c>
      <c r="H310" s="1">
        <v>85</v>
      </c>
    </row>
    <row r="311" spans="1:8" x14ac:dyDescent="0.25">
      <c r="A311" s="3" t="s">
        <v>469</v>
      </c>
      <c r="B311" s="1">
        <v>534</v>
      </c>
      <c r="C311" s="1">
        <v>76</v>
      </c>
      <c r="D311" s="1">
        <v>104</v>
      </c>
      <c r="E311" s="1">
        <v>71</v>
      </c>
      <c r="F311" s="1">
        <v>104</v>
      </c>
      <c r="G311" s="1">
        <v>71</v>
      </c>
      <c r="H311" s="1">
        <v>108</v>
      </c>
    </row>
    <row r="312" spans="1:8" x14ac:dyDescent="0.25">
      <c r="A312" s="3" t="s">
        <v>788</v>
      </c>
      <c r="B312" s="1">
        <v>288</v>
      </c>
      <c r="C312" s="1">
        <v>53</v>
      </c>
      <c r="D312" s="1">
        <v>54</v>
      </c>
      <c r="E312" s="1">
        <v>53</v>
      </c>
      <c r="F312" s="1">
        <v>37</v>
      </c>
      <c r="G312" s="1">
        <v>46</v>
      </c>
      <c r="H312" s="1">
        <v>45</v>
      </c>
    </row>
    <row r="313" spans="1:8" x14ac:dyDescent="0.25">
      <c r="A313" s="3" t="s">
        <v>16</v>
      </c>
      <c r="B313" s="1">
        <v>405</v>
      </c>
      <c r="C313" s="1">
        <v>60</v>
      </c>
      <c r="D313" s="1">
        <v>62</v>
      </c>
      <c r="E313" s="1">
        <v>63</v>
      </c>
      <c r="F313" s="1">
        <v>80</v>
      </c>
      <c r="G313" s="1">
        <v>80</v>
      </c>
      <c r="H313" s="1">
        <v>60</v>
      </c>
    </row>
    <row r="314" spans="1:8" x14ac:dyDescent="0.25">
      <c r="A314" s="3" t="s">
        <v>686</v>
      </c>
      <c r="B314" s="1">
        <v>480</v>
      </c>
      <c r="C314" s="1">
        <v>100</v>
      </c>
      <c r="D314" s="1">
        <v>60</v>
      </c>
      <c r="E314" s="1">
        <v>70</v>
      </c>
      <c r="F314" s="1">
        <v>85</v>
      </c>
      <c r="G314" s="1">
        <v>105</v>
      </c>
      <c r="H314" s="1">
        <v>60</v>
      </c>
    </row>
    <row r="315" spans="1:8" x14ac:dyDescent="0.25">
      <c r="A315" s="3" t="s">
        <v>69</v>
      </c>
      <c r="B315" s="1">
        <v>270</v>
      </c>
      <c r="C315" s="1">
        <v>115</v>
      </c>
      <c r="D315" s="1">
        <v>45</v>
      </c>
      <c r="E315" s="1">
        <v>20</v>
      </c>
      <c r="F315" s="1">
        <v>45</v>
      </c>
      <c r="G315" s="1">
        <v>25</v>
      </c>
      <c r="H315" s="1">
        <v>20</v>
      </c>
    </row>
    <row r="316" spans="1:8" x14ac:dyDescent="0.25">
      <c r="A316" s="3" t="s">
        <v>459</v>
      </c>
      <c r="B316" s="1">
        <v>600</v>
      </c>
      <c r="C316" s="1">
        <v>100</v>
      </c>
      <c r="D316" s="1">
        <v>100</v>
      </c>
      <c r="E316" s="1">
        <v>100</v>
      </c>
      <c r="F316" s="1">
        <v>100</v>
      </c>
      <c r="G316" s="1">
        <v>100</v>
      </c>
      <c r="H316" s="1">
        <v>100</v>
      </c>
    </row>
    <row r="317" spans="1:8" x14ac:dyDescent="0.25">
      <c r="A317" s="3" t="s">
        <v>178</v>
      </c>
      <c r="B317" s="1">
        <v>525</v>
      </c>
      <c r="C317" s="1">
        <v>65</v>
      </c>
      <c r="D317" s="1">
        <v>65</v>
      </c>
      <c r="E317" s="1">
        <v>60</v>
      </c>
      <c r="F317" s="1">
        <v>110</v>
      </c>
      <c r="G317" s="1">
        <v>95</v>
      </c>
      <c r="H317" s="1">
        <v>130</v>
      </c>
    </row>
    <row r="318" spans="1:8" x14ac:dyDescent="0.25">
      <c r="A318" s="3" t="s">
        <v>688</v>
      </c>
      <c r="B318" s="1">
        <v>319</v>
      </c>
      <c r="C318" s="1">
        <v>50</v>
      </c>
      <c r="D318" s="1">
        <v>47</v>
      </c>
      <c r="E318" s="1">
        <v>50</v>
      </c>
      <c r="F318" s="1">
        <v>57</v>
      </c>
      <c r="G318" s="1">
        <v>50</v>
      </c>
      <c r="H318" s="1">
        <v>65</v>
      </c>
    </row>
    <row r="319" spans="1:8" x14ac:dyDescent="0.25">
      <c r="A319" s="3" t="s">
        <v>236</v>
      </c>
      <c r="B319" s="1">
        <v>460</v>
      </c>
      <c r="C319" s="1">
        <v>75</v>
      </c>
      <c r="D319" s="1">
        <v>55</v>
      </c>
      <c r="E319" s="1">
        <v>70</v>
      </c>
      <c r="F319" s="1">
        <v>55</v>
      </c>
      <c r="G319" s="1">
        <v>95</v>
      </c>
      <c r="H319" s="1">
        <v>110</v>
      </c>
    </row>
    <row r="320" spans="1:8" x14ac:dyDescent="0.25">
      <c r="A320" s="3" t="s">
        <v>164</v>
      </c>
      <c r="B320" s="1">
        <v>455</v>
      </c>
      <c r="C320" s="1">
        <v>65</v>
      </c>
      <c r="D320" s="1">
        <v>50</v>
      </c>
      <c r="E320" s="1">
        <v>35</v>
      </c>
      <c r="F320" s="1">
        <v>115</v>
      </c>
      <c r="G320" s="1">
        <v>95</v>
      </c>
      <c r="H320" s="1">
        <v>95</v>
      </c>
    </row>
    <row r="321" spans="1:8" x14ac:dyDescent="0.25">
      <c r="A321" s="3" t="s">
        <v>183</v>
      </c>
      <c r="B321" s="1">
        <v>355</v>
      </c>
      <c r="C321" s="1">
        <v>30</v>
      </c>
      <c r="D321" s="1">
        <v>80</v>
      </c>
      <c r="E321" s="1">
        <v>90</v>
      </c>
      <c r="F321" s="1">
        <v>55</v>
      </c>
      <c r="G321" s="1">
        <v>45</v>
      </c>
      <c r="H321" s="1">
        <v>55</v>
      </c>
    </row>
    <row r="322" spans="1:8" x14ac:dyDescent="0.25">
      <c r="A322" s="3" t="s">
        <v>184</v>
      </c>
      <c r="B322" s="1">
        <v>495</v>
      </c>
      <c r="C322" s="1">
        <v>60</v>
      </c>
      <c r="D322" s="1">
        <v>115</v>
      </c>
      <c r="E322" s="1">
        <v>105</v>
      </c>
      <c r="F322" s="1">
        <v>65</v>
      </c>
      <c r="G322" s="1">
        <v>70</v>
      </c>
      <c r="H322" s="1">
        <v>80</v>
      </c>
    </row>
    <row r="323" spans="1:8" x14ac:dyDescent="0.25">
      <c r="A323" s="3" t="s">
        <v>96</v>
      </c>
      <c r="B323" s="1">
        <v>400</v>
      </c>
      <c r="C323" s="1">
        <v>40</v>
      </c>
      <c r="D323" s="1">
        <v>35</v>
      </c>
      <c r="E323" s="1">
        <v>30</v>
      </c>
      <c r="F323" s="1">
        <v>120</v>
      </c>
      <c r="G323" s="1">
        <v>70</v>
      </c>
      <c r="H323" s="1">
        <v>105</v>
      </c>
    </row>
    <row r="324" spans="1:8" x14ac:dyDescent="0.25">
      <c r="A324" s="3" t="s">
        <v>38</v>
      </c>
      <c r="B324" s="1">
        <v>205</v>
      </c>
      <c r="C324" s="1">
        <v>45</v>
      </c>
      <c r="D324" s="1">
        <v>25</v>
      </c>
      <c r="E324" s="1">
        <v>50</v>
      </c>
      <c r="F324" s="1">
        <v>25</v>
      </c>
      <c r="G324" s="1">
        <v>25</v>
      </c>
      <c r="H324" s="1">
        <v>35</v>
      </c>
    </row>
    <row r="325" spans="1:8" x14ac:dyDescent="0.25">
      <c r="A325" s="3" t="s">
        <v>154</v>
      </c>
      <c r="B325" s="1">
        <v>490</v>
      </c>
      <c r="C325" s="1">
        <v>105</v>
      </c>
      <c r="D325" s="1">
        <v>95</v>
      </c>
      <c r="E325" s="1">
        <v>80</v>
      </c>
      <c r="F325" s="1">
        <v>40</v>
      </c>
      <c r="G325" s="1">
        <v>80</v>
      </c>
      <c r="H325" s="1">
        <v>90</v>
      </c>
    </row>
    <row r="326" spans="1:8" x14ac:dyDescent="0.25">
      <c r="A326" s="3" t="s">
        <v>681</v>
      </c>
      <c r="B326" s="1">
        <v>315</v>
      </c>
      <c r="C326" s="1">
        <v>50</v>
      </c>
      <c r="D326" s="1">
        <v>75</v>
      </c>
      <c r="E326" s="1">
        <v>45</v>
      </c>
      <c r="F326" s="1">
        <v>40</v>
      </c>
      <c r="G326" s="1">
        <v>45</v>
      </c>
      <c r="H326" s="1">
        <v>60</v>
      </c>
    </row>
    <row r="327" spans="1:8" x14ac:dyDescent="0.25">
      <c r="A327" s="3" t="s">
        <v>416</v>
      </c>
      <c r="B327" s="1">
        <v>440</v>
      </c>
      <c r="C327" s="1">
        <v>60</v>
      </c>
      <c r="D327" s="1">
        <v>90</v>
      </c>
      <c r="E327" s="1">
        <v>70</v>
      </c>
      <c r="F327" s="1">
        <v>60</v>
      </c>
      <c r="G327" s="1">
        <v>120</v>
      </c>
      <c r="H327" s="1">
        <v>40</v>
      </c>
    </row>
    <row r="328" spans="1:8" x14ac:dyDescent="0.25">
      <c r="A328" s="3" t="s">
        <v>746</v>
      </c>
      <c r="B328" s="1">
        <v>580</v>
      </c>
      <c r="C328" s="1">
        <v>91</v>
      </c>
      <c r="D328" s="1">
        <v>72</v>
      </c>
      <c r="E328" s="1">
        <v>90</v>
      </c>
      <c r="F328" s="1">
        <v>129</v>
      </c>
      <c r="G328" s="1">
        <v>90</v>
      </c>
      <c r="H328" s="1">
        <v>108</v>
      </c>
    </row>
    <row r="329" spans="1:8" x14ac:dyDescent="0.25">
      <c r="A329" s="3" t="s">
        <v>745</v>
      </c>
      <c r="B329" s="1">
        <v>580</v>
      </c>
      <c r="C329" s="1">
        <v>91</v>
      </c>
      <c r="D329" s="1">
        <v>72</v>
      </c>
      <c r="E329" s="1">
        <v>90</v>
      </c>
      <c r="F329" s="1">
        <v>129</v>
      </c>
      <c r="G329" s="1">
        <v>90</v>
      </c>
      <c r="H329" s="1">
        <v>108</v>
      </c>
    </row>
    <row r="330" spans="1:8" x14ac:dyDescent="0.25">
      <c r="A330" s="3" t="s">
        <v>281</v>
      </c>
      <c r="B330" s="1">
        <v>540</v>
      </c>
      <c r="C330" s="1">
        <v>75</v>
      </c>
      <c r="D330" s="1">
        <v>95</v>
      </c>
      <c r="E330" s="1">
        <v>95</v>
      </c>
      <c r="F330" s="1">
        <v>95</v>
      </c>
      <c r="G330" s="1">
        <v>95</v>
      </c>
      <c r="H330" s="1">
        <v>85</v>
      </c>
    </row>
    <row r="331" spans="1:8" x14ac:dyDescent="0.25">
      <c r="A331" s="3" t="s">
        <v>138</v>
      </c>
      <c r="B331" s="1">
        <v>475</v>
      </c>
      <c r="C331" s="1">
        <v>55</v>
      </c>
      <c r="D331" s="1">
        <v>130</v>
      </c>
      <c r="E331" s="1">
        <v>115</v>
      </c>
      <c r="F331" s="1">
        <v>50</v>
      </c>
      <c r="G331" s="1">
        <v>50</v>
      </c>
      <c r="H331" s="1">
        <v>75</v>
      </c>
    </row>
    <row r="332" spans="1:8" x14ac:dyDescent="0.25">
      <c r="A332" s="3" t="s">
        <v>336</v>
      </c>
      <c r="B332" s="1">
        <v>278</v>
      </c>
      <c r="C332" s="1">
        <v>38</v>
      </c>
      <c r="D332" s="1">
        <v>35</v>
      </c>
      <c r="E332" s="1">
        <v>35</v>
      </c>
      <c r="F332" s="1">
        <v>65</v>
      </c>
      <c r="G332" s="1">
        <v>55</v>
      </c>
      <c r="H332" s="1">
        <v>50</v>
      </c>
    </row>
    <row r="333" spans="1:8" x14ac:dyDescent="0.25">
      <c r="A333" s="3" t="s">
        <v>693</v>
      </c>
      <c r="B333" s="1">
        <v>440</v>
      </c>
      <c r="C333" s="1">
        <v>60</v>
      </c>
      <c r="D333" s="1">
        <v>80</v>
      </c>
      <c r="E333" s="1">
        <v>95</v>
      </c>
      <c r="F333" s="1">
        <v>70</v>
      </c>
      <c r="G333" s="1">
        <v>85</v>
      </c>
      <c r="H333" s="1">
        <v>50</v>
      </c>
    </row>
    <row r="334" spans="1:8" x14ac:dyDescent="0.25">
      <c r="A334" s="3" t="s">
        <v>809</v>
      </c>
      <c r="B334" s="1">
        <v>470</v>
      </c>
      <c r="C334" s="1">
        <v>57</v>
      </c>
      <c r="D334" s="1">
        <v>80</v>
      </c>
      <c r="E334" s="1">
        <v>91</v>
      </c>
      <c r="F334" s="1">
        <v>80</v>
      </c>
      <c r="G334" s="1">
        <v>87</v>
      </c>
      <c r="H334" s="1">
        <v>75</v>
      </c>
    </row>
    <row r="335" spans="1:8" x14ac:dyDescent="0.25">
      <c r="A335" s="3" t="s">
        <v>692</v>
      </c>
      <c r="B335" s="1">
        <v>300</v>
      </c>
      <c r="C335" s="1">
        <v>40</v>
      </c>
      <c r="D335" s="1">
        <v>55</v>
      </c>
      <c r="E335" s="1">
        <v>70</v>
      </c>
      <c r="F335" s="1">
        <v>45</v>
      </c>
      <c r="G335" s="1">
        <v>60</v>
      </c>
      <c r="H335" s="1">
        <v>30</v>
      </c>
    </row>
    <row r="336" spans="1:8" x14ac:dyDescent="0.25">
      <c r="A336" s="3" t="s">
        <v>694</v>
      </c>
      <c r="B336" s="1">
        <v>520</v>
      </c>
      <c r="C336" s="1">
        <v>60</v>
      </c>
      <c r="D336" s="1">
        <v>100</v>
      </c>
      <c r="E336" s="1">
        <v>115</v>
      </c>
      <c r="F336" s="1">
        <v>70</v>
      </c>
      <c r="G336" s="1">
        <v>85</v>
      </c>
      <c r="H336" s="1">
        <v>90</v>
      </c>
    </row>
    <row r="337" spans="1:8" x14ac:dyDescent="0.25">
      <c r="A337" s="3" t="s">
        <v>148</v>
      </c>
      <c r="B337" s="1">
        <v>340</v>
      </c>
      <c r="C337" s="1">
        <v>40</v>
      </c>
      <c r="D337" s="1">
        <v>65</v>
      </c>
      <c r="E337" s="1">
        <v>95</v>
      </c>
      <c r="F337" s="1">
        <v>60</v>
      </c>
      <c r="G337" s="1">
        <v>45</v>
      </c>
      <c r="H337" s="1">
        <v>35</v>
      </c>
    </row>
    <row r="338" spans="1:8" x14ac:dyDescent="0.25">
      <c r="A338" s="3" t="s">
        <v>137</v>
      </c>
      <c r="B338" s="1">
        <v>325</v>
      </c>
      <c r="C338" s="1">
        <v>30</v>
      </c>
      <c r="D338" s="1">
        <v>105</v>
      </c>
      <c r="E338" s="1">
        <v>90</v>
      </c>
      <c r="F338" s="1">
        <v>25</v>
      </c>
      <c r="G338" s="1">
        <v>25</v>
      </c>
      <c r="H338" s="1">
        <v>50</v>
      </c>
    </row>
    <row r="339" spans="1:8" x14ac:dyDescent="0.25">
      <c r="A339" s="3" t="s">
        <v>478</v>
      </c>
      <c r="B339" s="1">
        <v>194</v>
      </c>
      <c r="C339" s="1">
        <v>37</v>
      </c>
      <c r="D339" s="1">
        <v>25</v>
      </c>
      <c r="E339" s="1">
        <v>41</v>
      </c>
      <c r="F339" s="1">
        <v>25</v>
      </c>
      <c r="G339" s="1">
        <v>41</v>
      </c>
      <c r="H339" s="1">
        <v>25</v>
      </c>
    </row>
    <row r="340" spans="1:8" x14ac:dyDescent="0.25">
      <c r="A340" s="3" t="s">
        <v>479</v>
      </c>
      <c r="B340" s="1">
        <v>384</v>
      </c>
      <c r="C340" s="1">
        <v>77</v>
      </c>
      <c r="D340" s="1">
        <v>85</v>
      </c>
      <c r="E340" s="1">
        <v>51</v>
      </c>
      <c r="F340" s="1">
        <v>55</v>
      </c>
      <c r="G340" s="1">
        <v>51</v>
      </c>
      <c r="H340" s="1">
        <v>65</v>
      </c>
    </row>
    <row r="341" spans="1:8" x14ac:dyDescent="0.25">
      <c r="A341" s="3" t="s">
        <v>644</v>
      </c>
      <c r="B341" s="1">
        <v>351</v>
      </c>
      <c r="C341" s="1">
        <v>60</v>
      </c>
      <c r="D341" s="1">
        <v>82</v>
      </c>
      <c r="E341" s="1">
        <v>45</v>
      </c>
      <c r="F341" s="1">
        <v>45</v>
      </c>
      <c r="G341" s="1">
        <v>45</v>
      </c>
      <c r="H341" s="1">
        <v>74</v>
      </c>
    </row>
    <row r="342" spans="1:8" x14ac:dyDescent="0.25">
      <c r="A342" s="3" t="s">
        <v>645</v>
      </c>
      <c r="B342" s="1">
        <v>519</v>
      </c>
      <c r="C342" s="1">
        <v>95</v>
      </c>
      <c r="D342" s="1">
        <v>117</v>
      </c>
      <c r="E342" s="1">
        <v>80</v>
      </c>
      <c r="F342" s="1">
        <v>65</v>
      </c>
      <c r="G342" s="1">
        <v>70</v>
      </c>
      <c r="H342" s="1">
        <v>92</v>
      </c>
    </row>
    <row r="343" spans="1:8" x14ac:dyDescent="0.25">
      <c r="A343" s="3" t="s">
        <v>454</v>
      </c>
      <c r="B343" s="1">
        <v>670</v>
      </c>
      <c r="C343" s="1">
        <v>100</v>
      </c>
      <c r="D343" s="1">
        <v>100</v>
      </c>
      <c r="E343" s="1">
        <v>90</v>
      </c>
      <c r="F343" s="1">
        <v>150</v>
      </c>
      <c r="G343" s="1">
        <v>140</v>
      </c>
      <c r="H343" s="1">
        <v>90</v>
      </c>
    </row>
    <row r="344" spans="1:8" x14ac:dyDescent="0.25">
      <c r="A344" s="3" t="s">
        <v>453</v>
      </c>
      <c r="B344" s="1">
        <v>770</v>
      </c>
      <c r="C344" s="1">
        <v>100</v>
      </c>
      <c r="D344" s="1">
        <v>150</v>
      </c>
      <c r="E344" s="1">
        <v>90</v>
      </c>
      <c r="F344" s="1">
        <v>180</v>
      </c>
      <c r="G344" s="1">
        <v>160</v>
      </c>
      <c r="H344" s="1">
        <v>90</v>
      </c>
    </row>
    <row r="345" spans="1:8" x14ac:dyDescent="0.25">
      <c r="A345" s="3" t="s">
        <v>743</v>
      </c>
      <c r="B345" s="1">
        <v>660</v>
      </c>
      <c r="C345" s="1">
        <v>125</v>
      </c>
      <c r="D345" s="1">
        <v>130</v>
      </c>
      <c r="E345" s="1">
        <v>90</v>
      </c>
      <c r="F345" s="1">
        <v>130</v>
      </c>
      <c r="G345" s="1">
        <v>90</v>
      </c>
      <c r="H345" s="1">
        <v>95</v>
      </c>
    </row>
    <row r="346" spans="1:8" x14ac:dyDescent="0.25">
      <c r="A346" s="3" t="s">
        <v>744</v>
      </c>
      <c r="B346" s="1">
        <v>700</v>
      </c>
      <c r="C346" s="1">
        <v>125</v>
      </c>
      <c r="D346" s="1">
        <v>170</v>
      </c>
      <c r="E346" s="1">
        <v>100</v>
      </c>
      <c r="F346" s="1">
        <v>120</v>
      </c>
      <c r="G346" s="1">
        <v>90</v>
      </c>
      <c r="H346" s="1">
        <v>95</v>
      </c>
    </row>
    <row r="347" spans="1:8" x14ac:dyDescent="0.25">
      <c r="A347" s="3" t="s">
        <v>742</v>
      </c>
      <c r="B347" s="1">
        <v>700</v>
      </c>
      <c r="C347" s="1">
        <v>125</v>
      </c>
      <c r="D347" s="1">
        <v>120</v>
      </c>
      <c r="E347" s="1">
        <v>90</v>
      </c>
      <c r="F347" s="1">
        <v>170</v>
      </c>
      <c r="G347" s="1">
        <v>100</v>
      </c>
      <c r="H347" s="1">
        <v>95</v>
      </c>
    </row>
    <row r="348" spans="1:8" x14ac:dyDescent="0.25">
      <c r="A348" s="3" t="s">
        <v>363</v>
      </c>
      <c r="B348" s="1">
        <v>430</v>
      </c>
      <c r="C348" s="1">
        <v>60</v>
      </c>
      <c r="D348" s="1">
        <v>90</v>
      </c>
      <c r="E348" s="1">
        <v>140</v>
      </c>
      <c r="F348" s="1">
        <v>50</v>
      </c>
      <c r="G348" s="1">
        <v>50</v>
      </c>
      <c r="H348" s="1">
        <v>40</v>
      </c>
    </row>
    <row r="349" spans="1:8" x14ac:dyDescent="0.25">
      <c r="A349" s="3" t="s">
        <v>701</v>
      </c>
      <c r="B349" s="1">
        <v>370</v>
      </c>
      <c r="C349" s="1">
        <v>60</v>
      </c>
      <c r="D349" s="1">
        <v>40</v>
      </c>
      <c r="E349" s="1">
        <v>60</v>
      </c>
      <c r="F349" s="1">
        <v>95</v>
      </c>
      <c r="G349" s="1">
        <v>60</v>
      </c>
      <c r="H349" s="1">
        <v>55</v>
      </c>
    </row>
    <row r="350" spans="1:8" x14ac:dyDescent="0.25">
      <c r="A350" s="3" t="s">
        <v>741</v>
      </c>
      <c r="B350" s="1">
        <v>600</v>
      </c>
      <c r="C350" s="1">
        <v>89</v>
      </c>
      <c r="D350" s="1">
        <v>125</v>
      </c>
      <c r="E350" s="1">
        <v>90</v>
      </c>
      <c r="F350" s="1">
        <v>115</v>
      </c>
      <c r="G350" s="1">
        <v>80</v>
      </c>
      <c r="H350" s="1">
        <v>101</v>
      </c>
    </row>
    <row r="351" spans="1:8" x14ac:dyDescent="0.25">
      <c r="A351" s="3" t="s">
        <v>740</v>
      </c>
      <c r="B351" s="1">
        <v>600</v>
      </c>
      <c r="C351" s="1">
        <v>89</v>
      </c>
      <c r="D351" s="1">
        <v>145</v>
      </c>
      <c r="E351" s="1">
        <v>90</v>
      </c>
      <c r="F351" s="1">
        <v>105</v>
      </c>
      <c r="G351" s="1">
        <v>80</v>
      </c>
      <c r="H351" s="1">
        <v>91</v>
      </c>
    </row>
    <row r="352" spans="1:8" x14ac:dyDescent="0.25">
      <c r="A352" s="3" t="s">
        <v>217</v>
      </c>
      <c r="B352" s="1">
        <v>460</v>
      </c>
      <c r="C352" s="1">
        <v>125</v>
      </c>
      <c r="D352" s="1">
        <v>58</v>
      </c>
      <c r="E352" s="1">
        <v>58</v>
      </c>
      <c r="F352" s="1">
        <v>76</v>
      </c>
      <c r="G352" s="1">
        <v>76</v>
      </c>
      <c r="H352" s="1">
        <v>67</v>
      </c>
    </row>
    <row r="353" spans="1:8" x14ac:dyDescent="0.25">
      <c r="A353" s="3" t="s">
        <v>174</v>
      </c>
      <c r="B353" s="1">
        <v>535</v>
      </c>
      <c r="C353" s="1">
        <v>130</v>
      </c>
      <c r="D353" s="1">
        <v>85</v>
      </c>
      <c r="E353" s="1">
        <v>80</v>
      </c>
      <c r="F353" s="1">
        <v>85</v>
      </c>
      <c r="G353" s="1">
        <v>95</v>
      </c>
      <c r="H353" s="1">
        <v>60</v>
      </c>
    </row>
    <row r="354" spans="1:8" x14ac:dyDescent="0.25">
      <c r="A354" s="3" t="s">
        <v>729</v>
      </c>
      <c r="B354" s="1">
        <v>360</v>
      </c>
      <c r="C354" s="1">
        <v>55</v>
      </c>
      <c r="D354" s="1">
        <v>85</v>
      </c>
      <c r="E354" s="1">
        <v>55</v>
      </c>
      <c r="F354" s="1">
        <v>50</v>
      </c>
      <c r="G354" s="1">
        <v>55</v>
      </c>
      <c r="H354" s="1">
        <v>60</v>
      </c>
    </row>
    <row r="355" spans="1:8" x14ac:dyDescent="0.25">
      <c r="A355" s="3" t="s">
        <v>297</v>
      </c>
      <c r="B355" s="1">
        <v>300</v>
      </c>
      <c r="C355" s="1">
        <v>50</v>
      </c>
      <c r="D355" s="1">
        <v>64</v>
      </c>
      <c r="E355" s="1">
        <v>50</v>
      </c>
      <c r="F355" s="1">
        <v>45</v>
      </c>
      <c r="G355" s="1">
        <v>50</v>
      </c>
      <c r="H355" s="1">
        <v>41</v>
      </c>
    </row>
    <row r="356" spans="1:8" x14ac:dyDescent="0.25">
      <c r="A356" s="3" t="s">
        <v>449</v>
      </c>
      <c r="B356" s="1">
        <v>600</v>
      </c>
      <c r="C356" s="1">
        <v>80</v>
      </c>
      <c r="D356" s="1">
        <v>80</v>
      </c>
      <c r="E356" s="1">
        <v>90</v>
      </c>
      <c r="F356" s="1">
        <v>110</v>
      </c>
      <c r="G356" s="1">
        <v>130</v>
      </c>
      <c r="H356" s="1">
        <v>110</v>
      </c>
    </row>
    <row r="357" spans="1:8" x14ac:dyDescent="0.25">
      <c r="A357" s="3" t="s">
        <v>452</v>
      </c>
      <c r="B357" s="1">
        <v>600</v>
      </c>
      <c r="C357" s="1">
        <v>80</v>
      </c>
      <c r="D357" s="1">
        <v>90</v>
      </c>
      <c r="E357" s="1">
        <v>80</v>
      </c>
      <c r="F357" s="1">
        <v>130</v>
      </c>
      <c r="G357" s="1">
        <v>110</v>
      </c>
      <c r="H357" s="1">
        <v>110</v>
      </c>
    </row>
    <row r="358" spans="1:8" x14ac:dyDescent="0.25">
      <c r="A358" s="3" t="s">
        <v>553</v>
      </c>
      <c r="B358" s="1">
        <v>525</v>
      </c>
      <c r="C358" s="1">
        <v>65</v>
      </c>
      <c r="D358" s="1">
        <v>110</v>
      </c>
      <c r="E358" s="1">
        <v>130</v>
      </c>
      <c r="F358" s="1">
        <v>60</v>
      </c>
      <c r="G358" s="1">
        <v>65</v>
      </c>
      <c r="H358" s="1">
        <v>95</v>
      </c>
    </row>
    <row r="359" spans="1:8" x14ac:dyDescent="0.25">
      <c r="A359" s="3" t="s">
        <v>634</v>
      </c>
      <c r="B359" s="1">
        <v>500</v>
      </c>
      <c r="C359" s="1">
        <v>75</v>
      </c>
      <c r="D359" s="1">
        <v>103</v>
      </c>
      <c r="E359" s="1">
        <v>80</v>
      </c>
      <c r="F359" s="1">
        <v>70</v>
      </c>
      <c r="G359" s="1">
        <v>80</v>
      </c>
      <c r="H359" s="1">
        <v>92</v>
      </c>
    </row>
    <row r="360" spans="1:8" x14ac:dyDescent="0.25">
      <c r="A360" s="3" t="s">
        <v>212</v>
      </c>
      <c r="B360" s="1">
        <v>390</v>
      </c>
      <c r="C360" s="1">
        <v>55</v>
      </c>
      <c r="D360" s="1">
        <v>35</v>
      </c>
      <c r="E360" s="1">
        <v>50</v>
      </c>
      <c r="F360" s="1">
        <v>55</v>
      </c>
      <c r="G360" s="1">
        <v>110</v>
      </c>
      <c r="H360" s="1">
        <v>85</v>
      </c>
    </row>
    <row r="361" spans="1:8" x14ac:dyDescent="0.25">
      <c r="A361" s="3" t="s">
        <v>211</v>
      </c>
      <c r="B361" s="1">
        <v>265</v>
      </c>
      <c r="C361" s="1">
        <v>40</v>
      </c>
      <c r="D361" s="1">
        <v>20</v>
      </c>
      <c r="E361" s="1">
        <v>30</v>
      </c>
      <c r="F361" s="1">
        <v>40</v>
      </c>
      <c r="G361" s="1">
        <v>80</v>
      </c>
      <c r="H361" s="1">
        <v>55</v>
      </c>
    </row>
    <row r="362" spans="1:8" x14ac:dyDescent="0.25">
      <c r="A362" s="3" t="s">
        <v>546</v>
      </c>
      <c r="B362" s="1">
        <v>515</v>
      </c>
      <c r="C362" s="1">
        <v>110</v>
      </c>
      <c r="D362" s="1">
        <v>85</v>
      </c>
      <c r="E362" s="1">
        <v>95</v>
      </c>
      <c r="F362" s="1">
        <v>80</v>
      </c>
      <c r="G362" s="1">
        <v>95</v>
      </c>
      <c r="H362" s="1">
        <v>50</v>
      </c>
    </row>
    <row r="363" spans="1:8" x14ac:dyDescent="0.25">
      <c r="A363" s="3" t="s">
        <v>147</v>
      </c>
      <c r="B363" s="1">
        <v>385</v>
      </c>
      <c r="C363" s="1">
        <v>90</v>
      </c>
      <c r="D363" s="1">
        <v>55</v>
      </c>
      <c r="E363" s="1">
        <v>75</v>
      </c>
      <c r="F363" s="1">
        <v>60</v>
      </c>
      <c r="G363" s="1">
        <v>75</v>
      </c>
      <c r="H363" s="1">
        <v>30</v>
      </c>
    </row>
    <row r="364" spans="1:8" x14ac:dyDescent="0.25">
      <c r="A364" s="3" t="s">
        <v>601</v>
      </c>
      <c r="B364" s="1">
        <v>446</v>
      </c>
      <c r="C364" s="1">
        <v>64</v>
      </c>
      <c r="D364" s="1">
        <v>88</v>
      </c>
      <c r="E364" s="1">
        <v>50</v>
      </c>
      <c r="F364" s="1">
        <v>88</v>
      </c>
      <c r="G364" s="1">
        <v>50</v>
      </c>
      <c r="H364" s="1">
        <v>106</v>
      </c>
    </row>
    <row r="365" spans="1:8" x14ac:dyDescent="0.25">
      <c r="A365" s="3" t="s">
        <v>409</v>
      </c>
      <c r="B365" s="1">
        <v>355</v>
      </c>
      <c r="C365" s="1">
        <v>66</v>
      </c>
      <c r="D365" s="1">
        <v>41</v>
      </c>
      <c r="E365" s="1">
        <v>77</v>
      </c>
      <c r="F365" s="1">
        <v>61</v>
      </c>
      <c r="G365" s="1">
        <v>87</v>
      </c>
      <c r="H365" s="1">
        <v>23</v>
      </c>
    </row>
    <row r="366" spans="1:8" x14ac:dyDescent="0.25">
      <c r="A366" s="3" t="s">
        <v>641</v>
      </c>
      <c r="B366" s="1">
        <v>480</v>
      </c>
      <c r="C366" s="1">
        <v>70</v>
      </c>
      <c r="D366" s="1">
        <v>60</v>
      </c>
      <c r="E366" s="1">
        <v>75</v>
      </c>
      <c r="F366" s="1">
        <v>110</v>
      </c>
      <c r="G366" s="1">
        <v>75</v>
      </c>
      <c r="H366" s="1">
        <v>90</v>
      </c>
    </row>
    <row r="367" spans="1:8" x14ac:dyDescent="0.25">
      <c r="A367" s="3" t="s">
        <v>597</v>
      </c>
      <c r="B367" s="1">
        <v>275</v>
      </c>
      <c r="C367" s="1">
        <v>45</v>
      </c>
      <c r="D367" s="1">
        <v>60</v>
      </c>
      <c r="E367" s="1">
        <v>45</v>
      </c>
      <c r="F367" s="1">
        <v>25</v>
      </c>
      <c r="G367" s="1">
        <v>45</v>
      </c>
      <c r="H367" s="1">
        <v>55</v>
      </c>
    </row>
    <row r="368" spans="1:8" x14ac:dyDescent="0.25">
      <c r="A368" s="3" t="s">
        <v>319</v>
      </c>
      <c r="B368" s="1">
        <v>420</v>
      </c>
      <c r="C368" s="1">
        <v>78</v>
      </c>
      <c r="D368" s="1">
        <v>70</v>
      </c>
      <c r="E368" s="1">
        <v>61</v>
      </c>
      <c r="F368" s="1">
        <v>50</v>
      </c>
      <c r="G368" s="1">
        <v>61</v>
      </c>
      <c r="H368" s="1">
        <v>100</v>
      </c>
    </row>
    <row r="369" spans="1:8" x14ac:dyDescent="0.25">
      <c r="A369" s="3" t="s">
        <v>767</v>
      </c>
      <c r="B369" s="1">
        <v>369</v>
      </c>
      <c r="C369" s="1">
        <v>62</v>
      </c>
      <c r="D369" s="1">
        <v>50</v>
      </c>
      <c r="E369" s="1">
        <v>58</v>
      </c>
      <c r="F369" s="1">
        <v>73</v>
      </c>
      <c r="G369" s="1">
        <v>54</v>
      </c>
      <c r="H369" s="1">
        <v>72</v>
      </c>
    </row>
    <row r="370" spans="1:8" x14ac:dyDescent="0.25">
      <c r="A370" s="3" t="s">
        <v>700</v>
      </c>
      <c r="B370" s="1">
        <v>275</v>
      </c>
      <c r="C370" s="1">
        <v>50</v>
      </c>
      <c r="D370" s="1">
        <v>30</v>
      </c>
      <c r="E370" s="1">
        <v>55</v>
      </c>
      <c r="F370" s="1">
        <v>65</v>
      </c>
      <c r="G370" s="1">
        <v>55</v>
      </c>
      <c r="H370" s="1">
        <v>20</v>
      </c>
    </row>
    <row r="371" spans="1:8" x14ac:dyDescent="0.25">
      <c r="A371" s="3" t="s">
        <v>326</v>
      </c>
      <c r="B371" s="1">
        <v>340</v>
      </c>
      <c r="C371" s="1">
        <v>60</v>
      </c>
      <c r="D371" s="1">
        <v>50</v>
      </c>
      <c r="E371" s="1">
        <v>50</v>
      </c>
      <c r="F371" s="1">
        <v>60</v>
      </c>
      <c r="G371" s="1">
        <v>70</v>
      </c>
      <c r="H371" s="1">
        <v>50</v>
      </c>
    </row>
    <row r="372" spans="1:8" x14ac:dyDescent="0.25">
      <c r="A372" s="3" t="s">
        <v>507</v>
      </c>
      <c r="B372" s="1">
        <v>480</v>
      </c>
      <c r="C372" s="1">
        <v>65</v>
      </c>
      <c r="D372" s="1">
        <v>76</v>
      </c>
      <c r="E372" s="1">
        <v>84</v>
      </c>
      <c r="F372" s="1">
        <v>54</v>
      </c>
      <c r="G372" s="1">
        <v>96</v>
      </c>
      <c r="H372" s="1">
        <v>105</v>
      </c>
    </row>
    <row r="373" spans="1:8" x14ac:dyDescent="0.25">
      <c r="A373" s="3" t="s">
        <v>325</v>
      </c>
      <c r="B373" s="1">
        <v>220</v>
      </c>
      <c r="C373" s="1">
        <v>40</v>
      </c>
      <c r="D373" s="1">
        <v>30</v>
      </c>
      <c r="E373" s="1">
        <v>30</v>
      </c>
      <c r="F373" s="1">
        <v>40</v>
      </c>
      <c r="G373" s="1">
        <v>50</v>
      </c>
      <c r="H373" s="1">
        <v>30</v>
      </c>
    </row>
    <row r="374" spans="1:8" x14ac:dyDescent="0.25">
      <c r="A374" s="3" t="s">
        <v>350</v>
      </c>
      <c r="B374" s="1">
        <v>360</v>
      </c>
      <c r="C374" s="1">
        <v>84</v>
      </c>
      <c r="D374" s="1">
        <v>71</v>
      </c>
      <c r="E374" s="1">
        <v>43</v>
      </c>
      <c r="F374" s="1">
        <v>71</v>
      </c>
      <c r="G374" s="1">
        <v>43</v>
      </c>
      <c r="H374" s="1">
        <v>48</v>
      </c>
    </row>
    <row r="375" spans="1:8" x14ac:dyDescent="0.25">
      <c r="A375" s="3" t="s">
        <v>530</v>
      </c>
      <c r="B375" s="1">
        <v>525</v>
      </c>
      <c r="C375" s="1">
        <v>70</v>
      </c>
      <c r="D375" s="1">
        <v>110</v>
      </c>
      <c r="E375" s="1">
        <v>70</v>
      </c>
      <c r="F375" s="1">
        <v>115</v>
      </c>
      <c r="G375" s="1">
        <v>70</v>
      </c>
      <c r="H375" s="1">
        <v>90</v>
      </c>
    </row>
    <row r="376" spans="1:8" x14ac:dyDescent="0.25">
      <c r="A376" s="3" t="s">
        <v>327</v>
      </c>
      <c r="B376" s="1">
        <v>480</v>
      </c>
      <c r="C376" s="1">
        <v>80</v>
      </c>
      <c r="D376" s="1">
        <v>70</v>
      </c>
      <c r="E376" s="1">
        <v>70</v>
      </c>
      <c r="F376" s="1">
        <v>90</v>
      </c>
      <c r="G376" s="1">
        <v>100</v>
      </c>
      <c r="H376" s="1">
        <v>70</v>
      </c>
    </row>
    <row r="377" spans="1:8" x14ac:dyDescent="0.25">
      <c r="A377" s="3" t="s">
        <v>301</v>
      </c>
      <c r="B377" s="1">
        <v>680</v>
      </c>
      <c r="C377" s="1">
        <v>106</v>
      </c>
      <c r="D377" s="1">
        <v>90</v>
      </c>
      <c r="E377" s="1">
        <v>130</v>
      </c>
      <c r="F377" s="1">
        <v>90</v>
      </c>
      <c r="G377" s="1">
        <v>154</v>
      </c>
      <c r="H377" s="1">
        <v>110</v>
      </c>
    </row>
    <row r="378" spans="1:8" x14ac:dyDescent="0.25">
      <c r="A378" s="3" t="s">
        <v>539</v>
      </c>
      <c r="B378" s="1">
        <v>460</v>
      </c>
      <c r="C378" s="1">
        <v>69</v>
      </c>
      <c r="D378" s="1">
        <v>69</v>
      </c>
      <c r="E378" s="1">
        <v>76</v>
      </c>
      <c r="F378" s="1">
        <v>69</v>
      </c>
      <c r="G378" s="1">
        <v>86</v>
      </c>
      <c r="H378" s="1">
        <v>91</v>
      </c>
    </row>
    <row r="379" spans="1:8" x14ac:dyDescent="0.25">
      <c r="A379" s="3" t="s">
        <v>401</v>
      </c>
      <c r="B379" s="1">
        <v>440</v>
      </c>
      <c r="C379" s="1">
        <v>70</v>
      </c>
      <c r="D379" s="1">
        <v>55</v>
      </c>
      <c r="E379" s="1">
        <v>65</v>
      </c>
      <c r="F379" s="1">
        <v>95</v>
      </c>
      <c r="G379" s="1">
        <v>85</v>
      </c>
      <c r="H379" s="1">
        <v>70</v>
      </c>
    </row>
    <row r="380" spans="1:8" x14ac:dyDescent="0.25">
      <c r="A380" s="3" t="s">
        <v>437</v>
      </c>
      <c r="B380" s="1">
        <v>330</v>
      </c>
      <c r="C380" s="1">
        <v>43</v>
      </c>
      <c r="D380" s="1">
        <v>30</v>
      </c>
      <c r="E380" s="1">
        <v>55</v>
      </c>
      <c r="F380" s="1">
        <v>40</v>
      </c>
      <c r="G380" s="1">
        <v>65</v>
      </c>
      <c r="H380" s="1">
        <v>97</v>
      </c>
    </row>
    <row r="381" spans="1:8" x14ac:dyDescent="0.25">
      <c r="A381" s="3" t="s">
        <v>481</v>
      </c>
      <c r="B381" s="1">
        <v>363</v>
      </c>
      <c r="C381" s="1">
        <v>60</v>
      </c>
      <c r="D381" s="1">
        <v>85</v>
      </c>
      <c r="E381" s="1">
        <v>49</v>
      </c>
      <c r="F381" s="1">
        <v>60</v>
      </c>
      <c r="G381" s="1">
        <v>49</v>
      </c>
      <c r="H381" s="1">
        <v>60</v>
      </c>
    </row>
    <row r="382" spans="1:8" x14ac:dyDescent="0.25">
      <c r="A382" s="3" t="s">
        <v>482</v>
      </c>
      <c r="B382" s="1">
        <v>523</v>
      </c>
      <c r="C382" s="1">
        <v>80</v>
      </c>
      <c r="D382" s="1">
        <v>120</v>
      </c>
      <c r="E382" s="1">
        <v>79</v>
      </c>
      <c r="F382" s="1">
        <v>95</v>
      </c>
      <c r="G382" s="1">
        <v>79</v>
      </c>
      <c r="H382" s="1">
        <v>70</v>
      </c>
    </row>
    <row r="383" spans="1:8" x14ac:dyDescent="0.25">
      <c r="A383" s="3" t="s">
        <v>101</v>
      </c>
      <c r="B383" s="1">
        <v>505</v>
      </c>
      <c r="C383" s="1">
        <v>90</v>
      </c>
      <c r="D383" s="1">
        <v>130</v>
      </c>
      <c r="E383" s="1">
        <v>80</v>
      </c>
      <c r="F383" s="1">
        <v>65</v>
      </c>
      <c r="G383" s="1">
        <v>85</v>
      </c>
      <c r="H383" s="1">
        <v>55</v>
      </c>
    </row>
    <row r="384" spans="1:8" x14ac:dyDescent="0.25">
      <c r="A384" s="3" t="s">
        <v>100</v>
      </c>
      <c r="B384" s="1">
        <v>405</v>
      </c>
      <c r="C384" s="1">
        <v>80</v>
      </c>
      <c r="D384" s="1">
        <v>100</v>
      </c>
      <c r="E384" s="1">
        <v>70</v>
      </c>
      <c r="F384" s="1">
        <v>50</v>
      </c>
      <c r="G384" s="1">
        <v>60</v>
      </c>
      <c r="H384" s="1">
        <v>45</v>
      </c>
    </row>
    <row r="385" spans="1:8" x14ac:dyDescent="0.25">
      <c r="A385" s="3" t="s">
        <v>99</v>
      </c>
      <c r="B385" s="1">
        <v>305</v>
      </c>
      <c r="C385" s="1">
        <v>70</v>
      </c>
      <c r="D385" s="1">
        <v>80</v>
      </c>
      <c r="E385" s="1">
        <v>50</v>
      </c>
      <c r="F385" s="1">
        <v>35</v>
      </c>
      <c r="G385" s="1">
        <v>35</v>
      </c>
      <c r="H385" s="1">
        <v>35</v>
      </c>
    </row>
    <row r="386" spans="1:8" x14ac:dyDescent="0.25">
      <c r="A386" s="3" t="s">
        <v>291</v>
      </c>
      <c r="B386" s="1">
        <v>365</v>
      </c>
      <c r="C386" s="1">
        <v>45</v>
      </c>
      <c r="D386" s="1">
        <v>75</v>
      </c>
      <c r="E386" s="1">
        <v>37</v>
      </c>
      <c r="F386" s="1">
        <v>70</v>
      </c>
      <c r="G386" s="1">
        <v>55</v>
      </c>
      <c r="H386" s="1">
        <v>83</v>
      </c>
    </row>
    <row r="387" spans="1:8" x14ac:dyDescent="0.25">
      <c r="A387" s="3" t="s">
        <v>269</v>
      </c>
      <c r="B387" s="1">
        <v>410</v>
      </c>
      <c r="C387" s="1">
        <v>50</v>
      </c>
      <c r="D387" s="1">
        <v>50</v>
      </c>
      <c r="E387" s="1">
        <v>120</v>
      </c>
      <c r="F387" s="1">
        <v>80</v>
      </c>
      <c r="G387" s="1">
        <v>80</v>
      </c>
      <c r="H387" s="1">
        <v>30</v>
      </c>
    </row>
    <row r="388" spans="1:8" x14ac:dyDescent="0.25">
      <c r="A388" s="3" t="s">
        <v>170</v>
      </c>
      <c r="B388" s="1">
        <v>200</v>
      </c>
      <c r="C388" s="1">
        <v>20</v>
      </c>
      <c r="D388" s="1">
        <v>10</v>
      </c>
      <c r="E388" s="1">
        <v>55</v>
      </c>
      <c r="F388" s="1">
        <v>15</v>
      </c>
      <c r="G388" s="1">
        <v>20</v>
      </c>
      <c r="H388" s="1">
        <v>80</v>
      </c>
    </row>
    <row r="389" spans="1:8" x14ac:dyDescent="0.25">
      <c r="A389" s="3" t="s">
        <v>166</v>
      </c>
      <c r="B389" s="1">
        <v>495</v>
      </c>
      <c r="C389" s="1">
        <v>65</v>
      </c>
      <c r="D389" s="1">
        <v>95</v>
      </c>
      <c r="E389" s="1">
        <v>57</v>
      </c>
      <c r="F389" s="1">
        <v>100</v>
      </c>
      <c r="G389" s="1">
        <v>85</v>
      </c>
      <c r="H389" s="1">
        <v>93</v>
      </c>
    </row>
    <row r="390" spans="1:8" x14ac:dyDescent="0.25">
      <c r="A390" s="3" t="s">
        <v>550</v>
      </c>
      <c r="B390" s="1">
        <v>540</v>
      </c>
      <c r="C390" s="1">
        <v>75</v>
      </c>
      <c r="D390" s="1">
        <v>95</v>
      </c>
      <c r="E390" s="1">
        <v>67</v>
      </c>
      <c r="F390" s="1">
        <v>125</v>
      </c>
      <c r="G390" s="1">
        <v>95</v>
      </c>
      <c r="H390" s="1">
        <v>83</v>
      </c>
    </row>
    <row r="391" spans="1:8" x14ac:dyDescent="0.25">
      <c r="A391" s="3" t="s">
        <v>116</v>
      </c>
      <c r="B391" s="1">
        <v>325</v>
      </c>
      <c r="C391" s="1">
        <v>25</v>
      </c>
      <c r="D391" s="1">
        <v>35</v>
      </c>
      <c r="E391" s="1">
        <v>70</v>
      </c>
      <c r="F391" s="1">
        <v>95</v>
      </c>
      <c r="G391" s="1">
        <v>55</v>
      </c>
      <c r="H391" s="1">
        <v>45</v>
      </c>
    </row>
    <row r="392" spans="1:8" x14ac:dyDescent="0.25">
      <c r="A392" s="3" t="s">
        <v>118</v>
      </c>
      <c r="B392" s="1">
        <v>465</v>
      </c>
      <c r="C392" s="1">
        <v>50</v>
      </c>
      <c r="D392" s="1">
        <v>60</v>
      </c>
      <c r="E392" s="1">
        <v>95</v>
      </c>
      <c r="F392" s="1">
        <v>120</v>
      </c>
      <c r="G392" s="1">
        <v>70</v>
      </c>
      <c r="H392" s="1">
        <v>70</v>
      </c>
    </row>
    <row r="393" spans="1:8" x14ac:dyDescent="0.25">
      <c r="A393" s="3" t="s">
        <v>545</v>
      </c>
      <c r="B393" s="1">
        <v>535</v>
      </c>
      <c r="C393" s="1">
        <v>70</v>
      </c>
      <c r="D393" s="1">
        <v>70</v>
      </c>
      <c r="E393" s="1">
        <v>115</v>
      </c>
      <c r="F393" s="1">
        <v>130</v>
      </c>
      <c r="G393" s="1">
        <v>90</v>
      </c>
      <c r="H393" s="1">
        <v>60</v>
      </c>
    </row>
    <row r="394" spans="1:8" x14ac:dyDescent="0.25">
      <c r="A394" s="3" t="s">
        <v>352</v>
      </c>
      <c r="B394" s="1">
        <v>237</v>
      </c>
      <c r="C394" s="1">
        <v>72</v>
      </c>
      <c r="D394" s="1">
        <v>60</v>
      </c>
      <c r="E394" s="1">
        <v>30</v>
      </c>
      <c r="F394" s="1">
        <v>20</v>
      </c>
      <c r="G394" s="1">
        <v>30</v>
      </c>
      <c r="H394" s="1">
        <v>25</v>
      </c>
    </row>
    <row r="395" spans="1:8" x14ac:dyDescent="0.25">
      <c r="A395" s="3" t="s">
        <v>789</v>
      </c>
      <c r="B395" s="1">
        <v>482</v>
      </c>
      <c r="C395" s="1">
        <v>86</v>
      </c>
      <c r="D395" s="1">
        <v>92</v>
      </c>
      <c r="E395" s="1">
        <v>88</v>
      </c>
      <c r="F395" s="1">
        <v>68</v>
      </c>
      <c r="G395" s="1">
        <v>75</v>
      </c>
      <c r="H395" s="1">
        <v>73</v>
      </c>
    </row>
    <row r="396" spans="1:8" x14ac:dyDescent="0.25">
      <c r="A396" s="3" t="s">
        <v>556</v>
      </c>
      <c r="B396" s="1">
        <v>530</v>
      </c>
      <c r="C396" s="1">
        <v>110</v>
      </c>
      <c r="D396" s="1">
        <v>130</v>
      </c>
      <c r="E396" s="1">
        <v>80</v>
      </c>
      <c r="F396" s="1">
        <v>70</v>
      </c>
      <c r="G396" s="1">
        <v>60</v>
      </c>
      <c r="H396" s="1">
        <v>80</v>
      </c>
    </row>
    <row r="397" spans="1:8" x14ac:dyDescent="0.25">
      <c r="A397" s="3" t="s">
        <v>580</v>
      </c>
      <c r="B397" s="1">
        <v>600</v>
      </c>
      <c r="C397" s="1">
        <v>100</v>
      </c>
      <c r="D397" s="1">
        <v>100</v>
      </c>
      <c r="E397" s="1">
        <v>100</v>
      </c>
      <c r="F397" s="1">
        <v>100</v>
      </c>
      <c r="G397" s="1">
        <v>100</v>
      </c>
      <c r="H397" s="1">
        <v>100</v>
      </c>
    </row>
    <row r="398" spans="1:8" x14ac:dyDescent="0.25">
      <c r="A398" s="3" t="s">
        <v>723</v>
      </c>
      <c r="B398" s="1">
        <v>510</v>
      </c>
      <c r="C398" s="1">
        <v>110</v>
      </c>
      <c r="D398" s="1">
        <v>65</v>
      </c>
      <c r="E398" s="1">
        <v>105</v>
      </c>
      <c r="F398" s="1">
        <v>55</v>
      </c>
      <c r="G398" s="1">
        <v>95</v>
      </c>
      <c r="H398" s="1">
        <v>80</v>
      </c>
    </row>
    <row r="399" spans="1:8" x14ac:dyDescent="0.25">
      <c r="A399" s="3" t="s">
        <v>371</v>
      </c>
      <c r="B399" s="1">
        <v>475</v>
      </c>
      <c r="C399" s="1">
        <v>70</v>
      </c>
      <c r="D399" s="1">
        <v>75</v>
      </c>
      <c r="E399" s="1">
        <v>60</v>
      </c>
      <c r="F399" s="1">
        <v>105</v>
      </c>
      <c r="G399" s="1">
        <v>60</v>
      </c>
      <c r="H399" s="1">
        <v>105</v>
      </c>
    </row>
    <row r="400" spans="1:8" x14ac:dyDescent="0.25">
      <c r="A400" s="3" t="s">
        <v>86</v>
      </c>
      <c r="B400" s="1">
        <v>305</v>
      </c>
      <c r="C400" s="1">
        <v>40</v>
      </c>
      <c r="D400" s="1">
        <v>80</v>
      </c>
      <c r="E400" s="1">
        <v>35</v>
      </c>
      <c r="F400" s="1">
        <v>35</v>
      </c>
      <c r="G400" s="1">
        <v>45</v>
      </c>
      <c r="H400" s="1">
        <v>70</v>
      </c>
    </row>
    <row r="401" spans="1:8" x14ac:dyDescent="0.25">
      <c r="A401" s="3" t="s">
        <v>276</v>
      </c>
      <c r="B401" s="1">
        <v>465</v>
      </c>
      <c r="C401" s="1">
        <v>65</v>
      </c>
      <c r="D401" s="1">
        <v>40</v>
      </c>
      <c r="E401" s="1">
        <v>70</v>
      </c>
      <c r="F401" s="1">
        <v>80</v>
      </c>
      <c r="G401" s="1">
        <v>140</v>
      </c>
      <c r="H401" s="1">
        <v>70</v>
      </c>
    </row>
    <row r="402" spans="1:8" x14ac:dyDescent="0.25">
      <c r="A402" s="3" t="s">
        <v>540</v>
      </c>
      <c r="B402" s="1">
        <v>345</v>
      </c>
      <c r="C402" s="1">
        <v>45</v>
      </c>
      <c r="D402" s="1">
        <v>20</v>
      </c>
      <c r="E402" s="1">
        <v>50</v>
      </c>
      <c r="F402" s="1">
        <v>60</v>
      </c>
      <c r="G402" s="1">
        <v>120</v>
      </c>
      <c r="H402" s="1">
        <v>50</v>
      </c>
    </row>
    <row r="403" spans="1:8" x14ac:dyDescent="0.25">
      <c r="A403" s="3" t="s">
        <v>649</v>
      </c>
      <c r="B403" s="1">
        <v>461</v>
      </c>
      <c r="C403" s="1">
        <v>75</v>
      </c>
      <c r="D403" s="1">
        <v>86</v>
      </c>
      <c r="E403" s="1">
        <v>67</v>
      </c>
      <c r="F403" s="1">
        <v>106</v>
      </c>
      <c r="G403" s="1">
        <v>67</v>
      </c>
      <c r="H403" s="1">
        <v>60</v>
      </c>
    </row>
    <row r="404" spans="1:8" x14ac:dyDescent="0.25">
      <c r="A404" s="3" t="s">
        <v>225</v>
      </c>
      <c r="B404" s="1">
        <v>280</v>
      </c>
      <c r="C404" s="1">
        <v>55</v>
      </c>
      <c r="D404" s="1">
        <v>40</v>
      </c>
      <c r="E404" s="1">
        <v>40</v>
      </c>
      <c r="F404" s="1">
        <v>65</v>
      </c>
      <c r="G404" s="1">
        <v>45</v>
      </c>
      <c r="H404" s="1">
        <v>35</v>
      </c>
    </row>
    <row r="405" spans="1:8" x14ac:dyDescent="0.25">
      <c r="A405" s="3" t="s">
        <v>230</v>
      </c>
      <c r="B405" s="1">
        <v>250</v>
      </c>
      <c r="C405" s="1">
        <v>70</v>
      </c>
      <c r="D405" s="1">
        <v>20</v>
      </c>
      <c r="E405" s="1">
        <v>50</v>
      </c>
      <c r="F405" s="1">
        <v>20</v>
      </c>
      <c r="G405" s="1">
        <v>50</v>
      </c>
      <c r="H405" s="1">
        <v>40</v>
      </c>
    </row>
    <row r="406" spans="1:8" x14ac:dyDescent="0.25">
      <c r="A406" s="3" t="s">
        <v>144</v>
      </c>
      <c r="B406" s="1">
        <v>425</v>
      </c>
      <c r="C406" s="1">
        <v>60</v>
      </c>
      <c r="D406" s="1">
        <v>80</v>
      </c>
      <c r="E406" s="1">
        <v>110</v>
      </c>
      <c r="F406" s="1">
        <v>50</v>
      </c>
      <c r="G406" s="1">
        <v>80</v>
      </c>
      <c r="H406" s="1">
        <v>45</v>
      </c>
    </row>
    <row r="407" spans="1:8" x14ac:dyDescent="0.25">
      <c r="A407" s="3" t="s">
        <v>313</v>
      </c>
      <c r="B407" s="1">
        <v>405</v>
      </c>
      <c r="C407" s="1">
        <v>70</v>
      </c>
      <c r="D407" s="1">
        <v>85</v>
      </c>
      <c r="E407" s="1">
        <v>70</v>
      </c>
      <c r="F407" s="1">
        <v>60</v>
      </c>
      <c r="G407" s="1">
        <v>70</v>
      </c>
      <c r="H407" s="1">
        <v>50</v>
      </c>
    </row>
    <row r="408" spans="1:8" x14ac:dyDescent="0.25">
      <c r="A408" s="3" t="s">
        <v>340</v>
      </c>
      <c r="B408" s="1">
        <v>414</v>
      </c>
      <c r="C408" s="1">
        <v>70</v>
      </c>
      <c r="D408" s="1">
        <v>60</v>
      </c>
      <c r="E408" s="1">
        <v>62</v>
      </c>
      <c r="F408" s="1">
        <v>80</v>
      </c>
      <c r="G408" s="1">
        <v>82</v>
      </c>
      <c r="H408" s="1">
        <v>60</v>
      </c>
    </row>
    <row r="409" spans="1:8" x14ac:dyDescent="0.25">
      <c r="A409" s="3" t="s">
        <v>361</v>
      </c>
      <c r="B409" s="1">
        <v>380</v>
      </c>
      <c r="C409" s="1">
        <v>50</v>
      </c>
      <c r="D409" s="1">
        <v>85</v>
      </c>
      <c r="E409" s="1">
        <v>85</v>
      </c>
      <c r="F409" s="1">
        <v>55</v>
      </c>
      <c r="G409" s="1">
        <v>55</v>
      </c>
      <c r="H409" s="1">
        <v>50</v>
      </c>
    </row>
    <row r="410" spans="1:8" x14ac:dyDescent="0.25">
      <c r="A410" s="3" t="s">
        <v>367</v>
      </c>
      <c r="B410" s="1">
        <v>410</v>
      </c>
      <c r="C410" s="1">
        <v>60</v>
      </c>
      <c r="D410" s="1">
        <v>60</v>
      </c>
      <c r="E410" s="1">
        <v>75</v>
      </c>
      <c r="F410" s="1">
        <v>60</v>
      </c>
      <c r="G410" s="1">
        <v>75</v>
      </c>
      <c r="H410" s="1">
        <v>80</v>
      </c>
    </row>
    <row r="411" spans="1:8" x14ac:dyDescent="0.25">
      <c r="A411" s="3" t="s">
        <v>366</v>
      </c>
      <c r="B411" s="1">
        <v>280</v>
      </c>
      <c r="C411" s="1">
        <v>30</v>
      </c>
      <c r="D411" s="1">
        <v>40</v>
      </c>
      <c r="E411" s="1">
        <v>55</v>
      </c>
      <c r="F411" s="1">
        <v>40</v>
      </c>
      <c r="G411" s="1">
        <v>55</v>
      </c>
      <c r="H411" s="1">
        <v>60</v>
      </c>
    </row>
    <row r="412" spans="1:8" x14ac:dyDescent="0.25">
      <c r="A412" s="3" t="s">
        <v>748</v>
      </c>
      <c r="B412" s="1">
        <v>600</v>
      </c>
      <c r="C412" s="1">
        <v>100</v>
      </c>
      <c r="D412" s="1">
        <v>77</v>
      </c>
      <c r="E412" s="1">
        <v>77</v>
      </c>
      <c r="F412" s="1">
        <v>128</v>
      </c>
      <c r="G412" s="1">
        <v>128</v>
      </c>
      <c r="H412" s="1">
        <v>90</v>
      </c>
    </row>
    <row r="413" spans="1:8" x14ac:dyDescent="0.25">
      <c r="A413" s="3" t="s">
        <v>747</v>
      </c>
      <c r="B413" s="1">
        <v>600</v>
      </c>
      <c r="C413" s="1">
        <v>100</v>
      </c>
      <c r="D413" s="1">
        <v>128</v>
      </c>
      <c r="E413" s="1">
        <v>90</v>
      </c>
      <c r="F413" s="1">
        <v>77</v>
      </c>
      <c r="G413" s="1">
        <v>77</v>
      </c>
      <c r="H413" s="1">
        <v>128</v>
      </c>
    </row>
    <row r="414" spans="1:8" x14ac:dyDescent="0.25">
      <c r="A414" s="3" t="s">
        <v>779</v>
      </c>
      <c r="B414" s="1">
        <v>466</v>
      </c>
      <c r="C414" s="1">
        <v>74</v>
      </c>
      <c r="D414" s="1">
        <v>48</v>
      </c>
      <c r="E414" s="1">
        <v>76</v>
      </c>
      <c r="F414" s="1">
        <v>83</v>
      </c>
      <c r="G414" s="1">
        <v>81</v>
      </c>
      <c r="H414" s="1">
        <v>104</v>
      </c>
    </row>
    <row r="415" spans="1:8" x14ac:dyDescent="0.25">
      <c r="A415" s="3" t="s">
        <v>778</v>
      </c>
      <c r="B415" s="1">
        <v>466</v>
      </c>
      <c r="C415" s="1">
        <v>74</v>
      </c>
      <c r="D415" s="1">
        <v>48</v>
      </c>
      <c r="E415" s="1">
        <v>76</v>
      </c>
      <c r="F415" s="1">
        <v>83</v>
      </c>
      <c r="G415" s="1">
        <v>81</v>
      </c>
      <c r="H415" s="1">
        <v>104</v>
      </c>
    </row>
    <row r="416" spans="1:8" x14ac:dyDescent="0.25">
      <c r="A416" s="3" t="s">
        <v>82</v>
      </c>
      <c r="B416" s="1">
        <v>290</v>
      </c>
      <c r="C416" s="1">
        <v>40</v>
      </c>
      <c r="D416" s="1">
        <v>45</v>
      </c>
      <c r="E416" s="1">
        <v>35</v>
      </c>
      <c r="F416" s="1">
        <v>40</v>
      </c>
      <c r="G416" s="1">
        <v>40</v>
      </c>
      <c r="H416" s="1">
        <v>90</v>
      </c>
    </row>
    <row r="417" spans="1:8" x14ac:dyDescent="0.25">
      <c r="A417" s="3" t="s">
        <v>570</v>
      </c>
      <c r="B417" s="1">
        <v>580</v>
      </c>
      <c r="C417" s="1">
        <v>80</v>
      </c>
      <c r="D417" s="1">
        <v>105</v>
      </c>
      <c r="E417" s="1">
        <v>105</v>
      </c>
      <c r="F417" s="1">
        <v>105</v>
      </c>
      <c r="G417" s="1">
        <v>105</v>
      </c>
      <c r="H417" s="1">
        <v>80</v>
      </c>
    </row>
    <row r="418" spans="1:8" x14ac:dyDescent="0.25">
      <c r="A418" s="3" t="s">
        <v>445</v>
      </c>
      <c r="B418" s="1">
        <v>600</v>
      </c>
      <c r="C418" s="1">
        <v>80</v>
      </c>
      <c r="D418" s="1">
        <v>135</v>
      </c>
      <c r="E418" s="1">
        <v>130</v>
      </c>
      <c r="F418" s="1">
        <v>95</v>
      </c>
      <c r="G418" s="1">
        <v>90</v>
      </c>
      <c r="H418" s="1">
        <v>70</v>
      </c>
    </row>
    <row r="419" spans="1:8" x14ac:dyDescent="0.25">
      <c r="A419" s="3" t="s">
        <v>443</v>
      </c>
      <c r="B419" s="1">
        <v>420</v>
      </c>
      <c r="C419" s="1">
        <v>60</v>
      </c>
      <c r="D419" s="1">
        <v>75</v>
      </c>
      <c r="E419" s="1">
        <v>100</v>
      </c>
      <c r="F419" s="1">
        <v>55</v>
      </c>
      <c r="G419" s="1">
        <v>80</v>
      </c>
      <c r="H419" s="1">
        <v>50</v>
      </c>
    </row>
    <row r="420" spans="1:8" x14ac:dyDescent="0.25">
      <c r="A420" s="3" t="s">
        <v>35</v>
      </c>
      <c r="B420" s="1">
        <v>205</v>
      </c>
      <c r="C420" s="1">
        <v>50</v>
      </c>
      <c r="D420" s="1">
        <v>20</v>
      </c>
      <c r="E420" s="1">
        <v>55</v>
      </c>
      <c r="F420" s="1">
        <v>25</v>
      </c>
      <c r="G420" s="1">
        <v>25</v>
      </c>
      <c r="H420" s="1">
        <v>30</v>
      </c>
    </row>
    <row r="421" spans="1:8" x14ac:dyDescent="0.25">
      <c r="A421" s="3" t="s">
        <v>197</v>
      </c>
      <c r="B421" s="1">
        <v>600</v>
      </c>
      <c r="C421" s="1">
        <v>100</v>
      </c>
      <c r="D421" s="1">
        <v>100</v>
      </c>
      <c r="E421" s="1">
        <v>100</v>
      </c>
      <c r="F421" s="1">
        <v>100</v>
      </c>
      <c r="G421" s="1">
        <v>100</v>
      </c>
      <c r="H421" s="1">
        <v>100</v>
      </c>
    </row>
    <row r="422" spans="1:8" x14ac:dyDescent="0.25">
      <c r="A422" s="3" t="s">
        <v>196</v>
      </c>
      <c r="B422" s="1">
        <v>680</v>
      </c>
      <c r="C422" s="1">
        <v>106</v>
      </c>
      <c r="D422" s="1">
        <v>110</v>
      </c>
      <c r="E422" s="1">
        <v>90</v>
      </c>
      <c r="F422" s="1">
        <v>154</v>
      </c>
      <c r="G422" s="1">
        <v>90</v>
      </c>
      <c r="H422" s="1">
        <v>130</v>
      </c>
    </row>
    <row r="423" spans="1:8" x14ac:dyDescent="0.25">
      <c r="A423" s="3" t="s">
        <v>712</v>
      </c>
      <c r="B423" s="1">
        <v>350</v>
      </c>
      <c r="C423" s="1">
        <v>45</v>
      </c>
      <c r="D423" s="1">
        <v>85</v>
      </c>
      <c r="E423" s="1">
        <v>50</v>
      </c>
      <c r="F423" s="1">
        <v>55</v>
      </c>
      <c r="G423" s="1">
        <v>50</v>
      </c>
      <c r="H423" s="1">
        <v>65</v>
      </c>
    </row>
    <row r="424" spans="1:8" x14ac:dyDescent="0.25">
      <c r="A424" s="3" t="s">
        <v>713</v>
      </c>
      <c r="B424" s="1">
        <v>510</v>
      </c>
      <c r="C424" s="1">
        <v>65</v>
      </c>
      <c r="D424" s="1">
        <v>125</v>
      </c>
      <c r="E424" s="1">
        <v>60</v>
      </c>
      <c r="F424" s="1">
        <v>95</v>
      </c>
      <c r="G424" s="1">
        <v>60</v>
      </c>
      <c r="H424" s="1">
        <v>105</v>
      </c>
    </row>
    <row r="425" spans="1:8" x14ac:dyDescent="0.25">
      <c r="A425" s="3" t="s">
        <v>317</v>
      </c>
      <c r="B425" s="1">
        <v>420</v>
      </c>
      <c r="C425" s="1">
        <v>70</v>
      </c>
      <c r="D425" s="1">
        <v>90</v>
      </c>
      <c r="E425" s="1">
        <v>70</v>
      </c>
      <c r="F425" s="1">
        <v>60</v>
      </c>
      <c r="G425" s="1">
        <v>60</v>
      </c>
      <c r="H425" s="1">
        <v>70</v>
      </c>
    </row>
    <row r="426" spans="1:8" x14ac:dyDescent="0.25">
      <c r="A426" s="3" t="s">
        <v>414</v>
      </c>
      <c r="B426" s="1">
        <v>540</v>
      </c>
      <c r="C426" s="1">
        <v>95</v>
      </c>
      <c r="D426" s="1">
        <v>60</v>
      </c>
      <c r="E426" s="1">
        <v>79</v>
      </c>
      <c r="F426" s="1">
        <v>100</v>
      </c>
      <c r="G426" s="1">
        <v>125</v>
      </c>
      <c r="H426" s="1">
        <v>81</v>
      </c>
    </row>
    <row r="427" spans="1:8" x14ac:dyDescent="0.25">
      <c r="A427" s="3" t="s">
        <v>292</v>
      </c>
      <c r="B427" s="1">
        <v>490</v>
      </c>
      <c r="C427" s="1">
        <v>95</v>
      </c>
      <c r="D427" s="1">
        <v>80</v>
      </c>
      <c r="E427" s="1">
        <v>105</v>
      </c>
      <c r="F427" s="1">
        <v>40</v>
      </c>
      <c r="G427" s="1">
        <v>70</v>
      </c>
      <c r="H427" s="1">
        <v>100</v>
      </c>
    </row>
    <row r="428" spans="1:8" x14ac:dyDescent="0.25">
      <c r="A428" s="3" t="s">
        <v>519</v>
      </c>
      <c r="B428" s="1">
        <v>310</v>
      </c>
      <c r="C428" s="1">
        <v>20</v>
      </c>
      <c r="D428" s="1">
        <v>25</v>
      </c>
      <c r="E428" s="1">
        <v>45</v>
      </c>
      <c r="F428" s="1">
        <v>70</v>
      </c>
      <c r="G428" s="1">
        <v>90</v>
      </c>
      <c r="H428" s="1">
        <v>60</v>
      </c>
    </row>
    <row r="429" spans="1:8" x14ac:dyDescent="0.25">
      <c r="A429" s="3" t="s">
        <v>665</v>
      </c>
      <c r="B429" s="1">
        <v>300</v>
      </c>
      <c r="C429" s="1">
        <v>55</v>
      </c>
      <c r="D429" s="1">
        <v>50</v>
      </c>
      <c r="E429" s="1">
        <v>40</v>
      </c>
      <c r="F429" s="1">
        <v>40</v>
      </c>
      <c r="G429" s="1">
        <v>40</v>
      </c>
      <c r="H429" s="1">
        <v>75</v>
      </c>
    </row>
    <row r="430" spans="1:8" x14ac:dyDescent="0.25">
      <c r="A430" s="3" t="s">
        <v>373</v>
      </c>
      <c r="B430" s="1">
        <v>405</v>
      </c>
      <c r="C430" s="1">
        <v>60</v>
      </c>
      <c r="D430" s="1">
        <v>40</v>
      </c>
      <c r="E430" s="1">
        <v>50</v>
      </c>
      <c r="F430" s="1">
        <v>75</v>
      </c>
      <c r="G430" s="1">
        <v>85</v>
      </c>
      <c r="H430" s="1">
        <v>95</v>
      </c>
    </row>
    <row r="431" spans="1:8" x14ac:dyDescent="0.25">
      <c r="A431" s="3" t="s">
        <v>247</v>
      </c>
      <c r="B431" s="1">
        <v>435</v>
      </c>
      <c r="C431" s="1">
        <v>60</v>
      </c>
      <c r="D431" s="1">
        <v>60</v>
      </c>
      <c r="E431" s="1">
        <v>60</v>
      </c>
      <c r="F431" s="1">
        <v>85</v>
      </c>
      <c r="G431" s="1">
        <v>85</v>
      </c>
      <c r="H431" s="1">
        <v>85</v>
      </c>
    </row>
    <row r="432" spans="1:8" x14ac:dyDescent="0.25">
      <c r="A432" s="3" t="s">
        <v>509</v>
      </c>
      <c r="B432" s="1">
        <v>495</v>
      </c>
      <c r="C432" s="1">
        <v>60</v>
      </c>
      <c r="D432" s="1">
        <v>60</v>
      </c>
      <c r="E432" s="1">
        <v>60</v>
      </c>
      <c r="F432" s="1">
        <v>105</v>
      </c>
      <c r="G432" s="1">
        <v>105</v>
      </c>
      <c r="H432" s="1">
        <v>105</v>
      </c>
    </row>
    <row r="433" spans="1:8" x14ac:dyDescent="0.25">
      <c r="A433" s="3" t="s">
        <v>190</v>
      </c>
      <c r="B433" s="1">
        <v>580</v>
      </c>
      <c r="C433" s="1">
        <v>90</v>
      </c>
      <c r="D433" s="1">
        <v>100</v>
      </c>
      <c r="E433" s="1">
        <v>90</v>
      </c>
      <c r="F433" s="1">
        <v>125</v>
      </c>
      <c r="G433" s="1">
        <v>85</v>
      </c>
      <c r="H433" s="1">
        <v>90</v>
      </c>
    </row>
    <row r="434" spans="1:8" x14ac:dyDescent="0.25">
      <c r="A434" s="3" t="s">
        <v>468</v>
      </c>
      <c r="B434" s="1">
        <v>405</v>
      </c>
      <c r="C434" s="1">
        <v>64</v>
      </c>
      <c r="D434" s="1">
        <v>78</v>
      </c>
      <c r="E434" s="1">
        <v>52</v>
      </c>
      <c r="F434" s="1">
        <v>78</v>
      </c>
      <c r="G434" s="1">
        <v>52</v>
      </c>
      <c r="H434" s="1">
        <v>81</v>
      </c>
    </row>
    <row r="435" spans="1:8" x14ac:dyDescent="0.25">
      <c r="A435" s="3" t="s">
        <v>493</v>
      </c>
      <c r="B435" s="1">
        <v>424</v>
      </c>
      <c r="C435" s="1">
        <v>70</v>
      </c>
      <c r="D435" s="1">
        <v>94</v>
      </c>
      <c r="E435" s="1">
        <v>50</v>
      </c>
      <c r="F435" s="1">
        <v>94</v>
      </c>
      <c r="G435" s="1">
        <v>50</v>
      </c>
      <c r="H435" s="1">
        <v>66</v>
      </c>
    </row>
    <row r="436" spans="1:8" x14ac:dyDescent="0.25">
      <c r="A436" s="3" t="s">
        <v>162</v>
      </c>
      <c r="B436" s="1">
        <v>460</v>
      </c>
      <c r="C436" s="1">
        <v>40</v>
      </c>
      <c r="D436" s="1">
        <v>45</v>
      </c>
      <c r="E436" s="1">
        <v>65</v>
      </c>
      <c r="F436" s="1">
        <v>100</v>
      </c>
      <c r="G436" s="1">
        <v>120</v>
      </c>
      <c r="H436" s="1">
        <v>90</v>
      </c>
    </row>
    <row r="437" spans="1:8" x14ac:dyDescent="0.25">
      <c r="A437" s="3" t="s">
        <v>312</v>
      </c>
      <c r="B437" s="1">
        <v>310</v>
      </c>
      <c r="C437" s="1">
        <v>50</v>
      </c>
      <c r="D437" s="1">
        <v>70</v>
      </c>
      <c r="E437" s="1">
        <v>50</v>
      </c>
      <c r="F437" s="1">
        <v>50</v>
      </c>
      <c r="G437" s="1">
        <v>50</v>
      </c>
      <c r="H437" s="1">
        <v>40</v>
      </c>
    </row>
    <row r="438" spans="1:8" x14ac:dyDescent="0.25">
      <c r="A438" s="3" t="s">
        <v>126</v>
      </c>
      <c r="B438" s="1">
        <v>500</v>
      </c>
      <c r="C438" s="1">
        <v>105</v>
      </c>
      <c r="D438" s="1">
        <v>105</v>
      </c>
      <c r="E438" s="1">
        <v>75</v>
      </c>
      <c r="F438" s="1">
        <v>65</v>
      </c>
      <c r="G438" s="1">
        <v>100</v>
      </c>
      <c r="H438" s="1">
        <v>50</v>
      </c>
    </row>
    <row r="439" spans="1:8" x14ac:dyDescent="0.25">
      <c r="A439" s="3" t="s">
        <v>527</v>
      </c>
      <c r="B439" s="1">
        <v>390</v>
      </c>
      <c r="C439" s="1">
        <v>135</v>
      </c>
      <c r="D439" s="1">
        <v>85</v>
      </c>
      <c r="E439" s="1">
        <v>40</v>
      </c>
      <c r="F439" s="1">
        <v>40</v>
      </c>
      <c r="G439" s="1">
        <v>85</v>
      </c>
      <c r="H439" s="1">
        <v>5</v>
      </c>
    </row>
    <row r="440" spans="1:8" x14ac:dyDescent="0.25">
      <c r="A440" s="3" t="s">
        <v>608</v>
      </c>
      <c r="B440" s="1">
        <v>292</v>
      </c>
      <c r="C440" s="1">
        <v>76</v>
      </c>
      <c r="D440" s="1">
        <v>25</v>
      </c>
      <c r="E440" s="1">
        <v>45</v>
      </c>
      <c r="F440" s="1">
        <v>67</v>
      </c>
      <c r="G440" s="1">
        <v>55</v>
      </c>
      <c r="H440" s="1">
        <v>24</v>
      </c>
    </row>
    <row r="441" spans="1:8" x14ac:dyDescent="0.25">
      <c r="A441" s="3" t="s">
        <v>245</v>
      </c>
      <c r="B441" s="1">
        <v>405</v>
      </c>
      <c r="C441" s="1">
        <v>60</v>
      </c>
      <c r="D441" s="1">
        <v>85</v>
      </c>
      <c r="E441" s="1">
        <v>42</v>
      </c>
      <c r="F441" s="1">
        <v>85</v>
      </c>
      <c r="G441" s="1">
        <v>42</v>
      </c>
      <c r="H441" s="1">
        <v>91</v>
      </c>
    </row>
    <row r="442" spans="1:8" x14ac:dyDescent="0.25">
      <c r="A442" s="3" t="s">
        <v>609</v>
      </c>
      <c r="B442" s="1">
        <v>487</v>
      </c>
      <c r="C442" s="1">
        <v>116</v>
      </c>
      <c r="D442" s="1">
        <v>55</v>
      </c>
      <c r="E442" s="1">
        <v>85</v>
      </c>
      <c r="F442" s="1">
        <v>107</v>
      </c>
      <c r="G442" s="1">
        <v>95</v>
      </c>
      <c r="H442" s="1">
        <v>29</v>
      </c>
    </row>
    <row r="443" spans="1:8" x14ac:dyDescent="0.25">
      <c r="A443" s="3" t="s">
        <v>223</v>
      </c>
      <c r="B443" s="1">
        <v>320</v>
      </c>
      <c r="C443" s="1">
        <v>40</v>
      </c>
      <c r="D443" s="1">
        <v>50</v>
      </c>
      <c r="E443" s="1">
        <v>45</v>
      </c>
      <c r="F443" s="1">
        <v>70</v>
      </c>
      <c r="G443" s="1">
        <v>45</v>
      </c>
      <c r="H443" s="1">
        <v>70</v>
      </c>
    </row>
    <row r="444" spans="1:8" x14ac:dyDescent="0.25">
      <c r="A444" s="3" t="s">
        <v>63</v>
      </c>
      <c r="B444" s="1">
        <v>505</v>
      </c>
      <c r="C444" s="1">
        <v>81</v>
      </c>
      <c r="D444" s="1">
        <v>102</v>
      </c>
      <c r="E444" s="1">
        <v>77</v>
      </c>
      <c r="F444" s="1">
        <v>85</v>
      </c>
      <c r="G444" s="1">
        <v>75</v>
      </c>
      <c r="H444" s="1">
        <v>85</v>
      </c>
    </row>
    <row r="445" spans="1:8" x14ac:dyDescent="0.25">
      <c r="A445" s="3" t="s">
        <v>60</v>
      </c>
      <c r="B445" s="1">
        <v>505</v>
      </c>
      <c r="C445" s="1">
        <v>90</v>
      </c>
      <c r="D445" s="1">
        <v>92</v>
      </c>
      <c r="E445" s="1">
        <v>87</v>
      </c>
      <c r="F445" s="1">
        <v>75</v>
      </c>
      <c r="G445" s="1">
        <v>85</v>
      </c>
      <c r="H445" s="1">
        <v>76</v>
      </c>
    </row>
    <row r="446" spans="1:8" x14ac:dyDescent="0.25">
      <c r="A446" s="3" t="s">
        <v>58</v>
      </c>
      <c r="B446" s="1">
        <v>275</v>
      </c>
      <c r="C446" s="1">
        <v>55</v>
      </c>
      <c r="D446" s="1">
        <v>47</v>
      </c>
      <c r="E446" s="1">
        <v>52</v>
      </c>
      <c r="F446" s="1">
        <v>40</v>
      </c>
      <c r="G446" s="1">
        <v>40</v>
      </c>
      <c r="H446" s="1">
        <v>41</v>
      </c>
    </row>
    <row r="447" spans="1:8" x14ac:dyDescent="0.25">
      <c r="A447" s="3" t="s">
        <v>61</v>
      </c>
      <c r="B447" s="1">
        <v>273</v>
      </c>
      <c r="C447" s="1">
        <v>46</v>
      </c>
      <c r="D447" s="1">
        <v>57</v>
      </c>
      <c r="E447" s="1">
        <v>40</v>
      </c>
      <c r="F447" s="1">
        <v>40</v>
      </c>
      <c r="G447" s="1">
        <v>40</v>
      </c>
      <c r="H447" s="1">
        <v>50</v>
      </c>
    </row>
    <row r="448" spans="1:8" x14ac:dyDescent="0.25">
      <c r="A448" s="3" t="s">
        <v>59</v>
      </c>
      <c r="B448" s="1">
        <v>365</v>
      </c>
      <c r="C448" s="1">
        <v>70</v>
      </c>
      <c r="D448" s="1">
        <v>62</v>
      </c>
      <c r="E448" s="1">
        <v>67</v>
      </c>
      <c r="F448" s="1">
        <v>55</v>
      </c>
      <c r="G448" s="1">
        <v>55</v>
      </c>
      <c r="H448" s="1">
        <v>56</v>
      </c>
    </row>
    <row r="449" spans="1:8" x14ac:dyDescent="0.25">
      <c r="A449" s="3" t="s">
        <v>62</v>
      </c>
      <c r="B449" s="1">
        <v>365</v>
      </c>
      <c r="C449" s="1">
        <v>61</v>
      </c>
      <c r="D449" s="1">
        <v>72</v>
      </c>
      <c r="E449" s="1">
        <v>57</v>
      </c>
      <c r="F449" s="1">
        <v>55</v>
      </c>
      <c r="G449" s="1">
        <v>55</v>
      </c>
      <c r="H449" s="1">
        <v>65</v>
      </c>
    </row>
    <row r="450" spans="1:8" x14ac:dyDescent="0.25">
      <c r="A450" s="3" t="s">
        <v>346</v>
      </c>
      <c r="B450" s="1">
        <v>266</v>
      </c>
      <c r="C450" s="1">
        <v>31</v>
      </c>
      <c r="D450" s="1">
        <v>45</v>
      </c>
      <c r="E450" s="1">
        <v>90</v>
      </c>
      <c r="F450" s="1">
        <v>30</v>
      </c>
      <c r="G450" s="1">
        <v>30</v>
      </c>
      <c r="H450" s="1">
        <v>40</v>
      </c>
    </row>
    <row r="451" spans="1:8" x14ac:dyDescent="0.25">
      <c r="A451" s="3" t="s">
        <v>68</v>
      </c>
      <c r="B451" s="1">
        <v>505</v>
      </c>
      <c r="C451" s="1">
        <v>73</v>
      </c>
      <c r="D451" s="1">
        <v>76</v>
      </c>
      <c r="E451" s="1">
        <v>75</v>
      </c>
      <c r="F451" s="1">
        <v>81</v>
      </c>
      <c r="G451" s="1">
        <v>100</v>
      </c>
      <c r="H451" s="1">
        <v>100</v>
      </c>
    </row>
    <row r="452" spans="1:8" x14ac:dyDescent="0.25">
      <c r="A452" s="3" t="s">
        <v>347</v>
      </c>
      <c r="B452" s="1">
        <v>456</v>
      </c>
      <c r="C452" s="1">
        <v>61</v>
      </c>
      <c r="D452" s="1">
        <v>90</v>
      </c>
      <c r="E452" s="1">
        <v>45</v>
      </c>
      <c r="F452" s="1">
        <v>50</v>
      </c>
      <c r="G452" s="1">
        <v>50</v>
      </c>
      <c r="H452" s="1">
        <v>160</v>
      </c>
    </row>
    <row r="453" spans="1:8" x14ac:dyDescent="0.25">
      <c r="A453" s="3" t="s">
        <v>210</v>
      </c>
      <c r="B453" s="1">
        <v>442</v>
      </c>
      <c r="C453" s="1">
        <v>100</v>
      </c>
      <c r="D453" s="1">
        <v>50</v>
      </c>
      <c r="E453" s="1">
        <v>50</v>
      </c>
      <c r="F453" s="1">
        <v>76</v>
      </c>
      <c r="G453" s="1">
        <v>96</v>
      </c>
      <c r="H453" s="1">
        <v>70</v>
      </c>
    </row>
    <row r="454" spans="1:8" x14ac:dyDescent="0.25">
      <c r="A454" s="3" t="s">
        <v>822</v>
      </c>
      <c r="B454" s="1">
        <v>245</v>
      </c>
      <c r="C454" s="1">
        <v>40</v>
      </c>
      <c r="D454" s="1">
        <v>30</v>
      </c>
      <c r="E454" s="1">
        <v>35</v>
      </c>
      <c r="F454" s="1">
        <v>45</v>
      </c>
      <c r="G454" s="1">
        <v>40</v>
      </c>
      <c r="H454" s="1">
        <v>55</v>
      </c>
    </row>
    <row r="455" spans="1:8" x14ac:dyDescent="0.25">
      <c r="A455" s="3" t="s">
        <v>823</v>
      </c>
      <c r="B455" s="1">
        <v>535</v>
      </c>
      <c r="C455" s="1">
        <v>85</v>
      </c>
      <c r="D455" s="1">
        <v>70</v>
      </c>
      <c r="E455" s="1">
        <v>80</v>
      </c>
      <c r="F455" s="1">
        <v>97</v>
      </c>
      <c r="G455" s="1">
        <v>80</v>
      </c>
      <c r="H455" s="1">
        <v>123</v>
      </c>
    </row>
    <row r="456" spans="1:8" x14ac:dyDescent="0.25">
      <c r="A456" s="3" t="s">
        <v>355</v>
      </c>
      <c r="B456" s="1">
        <v>375</v>
      </c>
      <c r="C456" s="1">
        <v>30</v>
      </c>
      <c r="D456" s="1">
        <v>45</v>
      </c>
      <c r="E456" s="1">
        <v>135</v>
      </c>
      <c r="F456" s="1">
        <v>45</v>
      </c>
      <c r="G456" s="1">
        <v>90</v>
      </c>
      <c r="H456" s="1">
        <v>30</v>
      </c>
    </row>
    <row r="457" spans="1:8" x14ac:dyDescent="0.25">
      <c r="A457" s="3" t="s">
        <v>384</v>
      </c>
      <c r="B457" s="1">
        <v>305</v>
      </c>
      <c r="C457" s="1">
        <v>60</v>
      </c>
      <c r="D457" s="1">
        <v>60</v>
      </c>
      <c r="E457" s="1">
        <v>40</v>
      </c>
      <c r="F457" s="1">
        <v>65</v>
      </c>
      <c r="G457" s="1">
        <v>45</v>
      </c>
      <c r="H457" s="1">
        <v>35</v>
      </c>
    </row>
    <row r="458" spans="1:8" x14ac:dyDescent="0.25">
      <c r="A458" s="3" t="s">
        <v>329</v>
      </c>
      <c r="B458" s="1">
        <v>340</v>
      </c>
      <c r="C458" s="1">
        <v>70</v>
      </c>
      <c r="D458" s="1">
        <v>70</v>
      </c>
      <c r="E458" s="1">
        <v>40</v>
      </c>
      <c r="F458" s="1">
        <v>60</v>
      </c>
      <c r="G458" s="1">
        <v>40</v>
      </c>
      <c r="H458" s="1">
        <v>60</v>
      </c>
    </row>
    <row r="459" spans="1:8" x14ac:dyDescent="0.25">
      <c r="A459" s="3" t="s">
        <v>274</v>
      </c>
      <c r="B459" s="1">
        <v>480</v>
      </c>
      <c r="C459" s="1">
        <v>75</v>
      </c>
      <c r="D459" s="1">
        <v>105</v>
      </c>
      <c r="E459" s="1">
        <v>75</v>
      </c>
      <c r="F459" s="1">
        <v>105</v>
      </c>
      <c r="G459" s="1">
        <v>75</v>
      </c>
      <c r="H459" s="1">
        <v>45</v>
      </c>
    </row>
    <row r="460" spans="1:8" x14ac:dyDescent="0.25">
      <c r="A460" s="3" t="s">
        <v>73</v>
      </c>
      <c r="B460" s="1">
        <v>320</v>
      </c>
      <c r="C460" s="1">
        <v>45</v>
      </c>
      <c r="D460" s="1">
        <v>50</v>
      </c>
      <c r="E460" s="1">
        <v>55</v>
      </c>
      <c r="F460" s="1">
        <v>75</v>
      </c>
      <c r="G460" s="1">
        <v>65</v>
      </c>
      <c r="H460" s="1">
        <v>30</v>
      </c>
    </row>
    <row r="461" spans="1:8" x14ac:dyDescent="0.25">
      <c r="A461" s="3" t="s">
        <v>181</v>
      </c>
      <c r="B461" s="1">
        <v>355</v>
      </c>
      <c r="C461" s="1">
        <v>35</v>
      </c>
      <c r="D461" s="1">
        <v>40</v>
      </c>
      <c r="E461" s="1">
        <v>100</v>
      </c>
      <c r="F461" s="1">
        <v>90</v>
      </c>
      <c r="G461" s="1">
        <v>55</v>
      </c>
      <c r="H461" s="1">
        <v>35</v>
      </c>
    </row>
    <row r="462" spans="1:8" x14ac:dyDescent="0.25">
      <c r="A462" s="3" t="s">
        <v>182</v>
      </c>
      <c r="B462" s="1">
        <v>495</v>
      </c>
      <c r="C462" s="1">
        <v>70</v>
      </c>
      <c r="D462" s="1">
        <v>60</v>
      </c>
      <c r="E462" s="1">
        <v>125</v>
      </c>
      <c r="F462" s="1">
        <v>115</v>
      </c>
      <c r="G462" s="1">
        <v>70</v>
      </c>
      <c r="H462" s="1">
        <v>55</v>
      </c>
    </row>
    <row r="463" spans="1:8" x14ac:dyDescent="0.25">
      <c r="A463" s="3" t="s">
        <v>134</v>
      </c>
      <c r="B463" s="1">
        <v>385</v>
      </c>
      <c r="C463" s="1">
        <v>35</v>
      </c>
      <c r="D463" s="1">
        <v>45</v>
      </c>
      <c r="E463" s="1">
        <v>160</v>
      </c>
      <c r="F463" s="1">
        <v>30</v>
      </c>
      <c r="G463" s="1">
        <v>45</v>
      </c>
      <c r="H463" s="1">
        <v>70</v>
      </c>
    </row>
    <row r="464" spans="1:8" x14ac:dyDescent="0.25">
      <c r="A464" s="3" t="s">
        <v>592</v>
      </c>
      <c r="B464" s="1">
        <v>308</v>
      </c>
      <c r="C464" s="1">
        <v>55</v>
      </c>
      <c r="D464" s="1">
        <v>55</v>
      </c>
      <c r="E464" s="1">
        <v>45</v>
      </c>
      <c r="F464" s="1">
        <v>63</v>
      </c>
      <c r="G464" s="1">
        <v>45</v>
      </c>
      <c r="H464" s="1">
        <v>45</v>
      </c>
    </row>
    <row r="465" spans="1:8" x14ac:dyDescent="0.25">
      <c r="A465" s="3" t="s">
        <v>496</v>
      </c>
      <c r="B465" s="1">
        <v>405</v>
      </c>
      <c r="C465" s="1">
        <v>60</v>
      </c>
      <c r="D465" s="1">
        <v>45</v>
      </c>
      <c r="E465" s="1">
        <v>70</v>
      </c>
      <c r="F465" s="1">
        <v>45</v>
      </c>
      <c r="G465" s="1">
        <v>90</v>
      </c>
      <c r="H465" s="1">
        <v>95</v>
      </c>
    </row>
    <row r="466" spans="1:8" x14ac:dyDescent="0.25">
      <c r="A466" s="3" t="s">
        <v>573</v>
      </c>
      <c r="B466" s="1">
        <v>680</v>
      </c>
      <c r="C466" s="1">
        <v>90</v>
      </c>
      <c r="D466" s="1">
        <v>120</v>
      </c>
      <c r="E466" s="1">
        <v>100</v>
      </c>
      <c r="F466" s="1">
        <v>150</v>
      </c>
      <c r="G466" s="1">
        <v>120</v>
      </c>
      <c r="H466" s="1">
        <v>100</v>
      </c>
    </row>
    <row r="467" spans="1:8" x14ac:dyDescent="0.25">
      <c r="A467" s="3" t="s">
        <v>628</v>
      </c>
      <c r="B467" s="1">
        <v>384</v>
      </c>
      <c r="C467" s="1">
        <v>75</v>
      </c>
      <c r="D467" s="1">
        <v>65</v>
      </c>
      <c r="E467" s="1">
        <v>55</v>
      </c>
      <c r="F467" s="1">
        <v>65</v>
      </c>
      <c r="G467" s="1">
        <v>55</v>
      </c>
      <c r="H467" s="1">
        <v>69</v>
      </c>
    </row>
    <row r="468" spans="1:8" x14ac:dyDescent="0.25">
      <c r="A468" s="3" t="s">
        <v>774</v>
      </c>
      <c r="B468" s="1">
        <v>348</v>
      </c>
      <c r="C468" s="1">
        <v>67</v>
      </c>
      <c r="D468" s="1">
        <v>82</v>
      </c>
      <c r="E468" s="1">
        <v>62</v>
      </c>
      <c r="F468" s="1">
        <v>46</v>
      </c>
      <c r="G468" s="1">
        <v>48</v>
      </c>
      <c r="H468" s="1">
        <v>43</v>
      </c>
    </row>
    <row r="469" spans="1:8" x14ac:dyDescent="0.25">
      <c r="A469" s="3" t="s">
        <v>775</v>
      </c>
      <c r="B469" s="1">
        <v>495</v>
      </c>
      <c r="C469" s="1">
        <v>95</v>
      </c>
      <c r="D469" s="1">
        <v>124</v>
      </c>
      <c r="E469" s="1">
        <v>78</v>
      </c>
      <c r="F469" s="1">
        <v>69</v>
      </c>
      <c r="G469" s="1">
        <v>71</v>
      </c>
      <c r="H469" s="1">
        <v>58</v>
      </c>
    </row>
    <row r="470" spans="1:8" x14ac:dyDescent="0.25">
      <c r="A470" s="3" t="s">
        <v>606</v>
      </c>
      <c r="B470" s="1">
        <v>316</v>
      </c>
      <c r="C470" s="1">
        <v>50</v>
      </c>
      <c r="D470" s="1">
        <v>53</v>
      </c>
      <c r="E470" s="1">
        <v>48</v>
      </c>
      <c r="F470" s="1">
        <v>53</v>
      </c>
      <c r="G470" s="1">
        <v>48</v>
      </c>
      <c r="H470" s="1">
        <v>64</v>
      </c>
    </row>
    <row r="471" spans="1:8" x14ac:dyDescent="0.25">
      <c r="A471" s="3" t="s">
        <v>602</v>
      </c>
      <c r="B471" s="1">
        <v>316</v>
      </c>
      <c r="C471" s="1">
        <v>50</v>
      </c>
      <c r="D471" s="1">
        <v>53</v>
      </c>
      <c r="E471" s="1">
        <v>48</v>
      </c>
      <c r="F471" s="1">
        <v>53</v>
      </c>
      <c r="G471" s="1">
        <v>48</v>
      </c>
      <c r="H471" s="1">
        <v>64</v>
      </c>
    </row>
    <row r="472" spans="1:8" x14ac:dyDescent="0.25">
      <c r="A472" s="3" t="s">
        <v>604</v>
      </c>
      <c r="B472" s="1">
        <v>316</v>
      </c>
      <c r="C472" s="1">
        <v>50</v>
      </c>
      <c r="D472" s="1">
        <v>53</v>
      </c>
      <c r="E472" s="1">
        <v>48</v>
      </c>
      <c r="F472" s="1">
        <v>53</v>
      </c>
      <c r="G472" s="1">
        <v>48</v>
      </c>
      <c r="H472" s="1">
        <v>64</v>
      </c>
    </row>
    <row r="473" spans="1:8" x14ac:dyDescent="0.25">
      <c r="A473" s="3" t="s">
        <v>76</v>
      </c>
      <c r="B473" s="1">
        <v>285</v>
      </c>
      <c r="C473" s="1">
        <v>35</v>
      </c>
      <c r="D473" s="1">
        <v>70</v>
      </c>
      <c r="E473" s="1">
        <v>55</v>
      </c>
      <c r="F473" s="1">
        <v>45</v>
      </c>
      <c r="G473" s="1">
        <v>55</v>
      </c>
      <c r="H473" s="1">
        <v>25</v>
      </c>
    </row>
    <row r="474" spans="1:8" x14ac:dyDescent="0.25">
      <c r="A474" s="3" t="s">
        <v>77</v>
      </c>
      <c r="B474" s="1">
        <v>405</v>
      </c>
      <c r="C474" s="1">
        <v>60</v>
      </c>
      <c r="D474" s="1">
        <v>95</v>
      </c>
      <c r="E474" s="1">
        <v>80</v>
      </c>
      <c r="F474" s="1">
        <v>60</v>
      </c>
      <c r="G474" s="1">
        <v>80</v>
      </c>
      <c r="H474" s="1">
        <v>30</v>
      </c>
    </row>
    <row r="475" spans="1:8" x14ac:dyDescent="0.25">
      <c r="A475" s="3" t="s">
        <v>595</v>
      </c>
      <c r="B475" s="1">
        <v>255</v>
      </c>
      <c r="C475" s="1">
        <v>45</v>
      </c>
      <c r="D475" s="1">
        <v>55</v>
      </c>
      <c r="E475" s="1">
        <v>39</v>
      </c>
      <c r="F475" s="1">
        <v>35</v>
      </c>
      <c r="G475" s="1">
        <v>39</v>
      </c>
      <c r="H475" s="1">
        <v>42</v>
      </c>
    </row>
    <row r="476" spans="1:8" x14ac:dyDescent="0.25">
      <c r="A476" s="3" t="s">
        <v>717</v>
      </c>
      <c r="B476" s="1">
        <v>340</v>
      </c>
      <c r="C476" s="1">
        <v>45</v>
      </c>
      <c r="D476" s="1">
        <v>85</v>
      </c>
      <c r="E476" s="1">
        <v>70</v>
      </c>
      <c r="F476" s="1">
        <v>40</v>
      </c>
      <c r="G476" s="1">
        <v>40</v>
      </c>
      <c r="H476" s="1">
        <v>60</v>
      </c>
    </row>
    <row r="477" spans="1:8" x14ac:dyDescent="0.25">
      <c r="A477" s="3" t="s">
        <v>334</v>
      </c>
      <c r="B477" s="1">
        <v>430</v>
      </c>
      <c r="C477" s="1">
        <v>60</v>
      </c>
      <c r="D477" s="1">
        <v>50</v>
      </c>
      <c r="E477" s="1">
        <v>100</v>
      </c>
      <c r="F477" s="1">
        <v>85</v>
      </c>
      <c r="G477" s="1">
        <v>70</v>
      </c>
      <c r="H477" s="1">
        <v>65</v>
      </c>
    </row>
    <row r="478" spans="1:8" x14ac:dyDescent="0.25">
      <c r="A478" s="3" t="s">
        <v>83</v>
      </c>
      <c r="B478" s="1">
        <v>440</v>
      </c>
      <c r="C478" s="1">
        <v>65</v>
      </c>
      <c r="D478" s="1">
        <v>70</v>
      </c>
      <c r="E478" s="1">
        <v>60</v>
      </c>
      <c r="F478" s="1">
        <v>65</v>
      </c>
      <c r="G478" s="1">
        <v>65</v>
      </c>
      <c r="H478" s="1">
        <v>115</v>
      </c>
    </row>
    <row r="479" spans="1:8" x14ac:dyDescent="0.25">
      <c r="A479" s="3" t="s">
        <v>640</v>
      </c>
      <c r="B479" s="1">
        <v>280</v>
      </c>
      <c r="C479" s="1">
        <v>45</v>
      </c>
      <c r="D479" s="1">
        <v>35</v>
      </c>
      <c r="E479" s="1">
        <v>50</v>
      </c>
      <c r="F479" s="1">
        <v>70</v>
      </c>
      <c r="G479" s="1">
        <v>50</v>
      </c>
      <c r="H479" s="1">
        <v>30</v>
      </c>
    </row>
    <row r="480" spans="1:8" x14ac:dyDescent="0.25">
      <c r="A480" s="3" t="s">
        <v>282</v>
      </c>
      <c r="B480" s="1">
        <v>330</v>
      </c>
      <c r="C480" s="1">
        <v>90</v>
      </c>
      <c r="D480" s="1">
        <v>60</v>
      </c>
      <c r="E480" s="1">
        <v>60</v>
      </c>
      <c r="F480" s="1">
        <v>40</v>
      </c>
      <c r="G480" s="1">
        <v>40</v>
      </c>
      <c r="H480" s="1">
        <v>40</v>
      </c>
    </row>
    <row r="481" spans="1:8" x14ac:dyDescent="0.25">
      <c r="A481" s="3" t="s">
        <v>810</v>
      </c>
      <c r="B481" s="1">
        <v>309</v>
      </c>
      <c r="C481" s="1">
        <v>43</v>
      </c>
      <c r="D481" s="1">
        <v>70</v>
      </c>
      <c r="E481" s="1">
        <v>48</v>
      </c>
      <c r="F481" s="1">
        <v>50</v>
      </c>
      <c r="G481" s="1">
        <v>60</v>
      </c>
      <c r="H481" s="1">
        <v>38</v>
      </c>
    </row>
    <row r="482" spans="1:8" x14ac:dyDescent="0.25">
      <c r="A482" s="3" t="s">
        <v>579</v>
      </c>
      <c r="B482" s="1">
        <v>480</v>
      </c>
      <c r="C482" s="1">
        <v>80</v>
      </c>
      <c r="D482" s="1">
        <v>80</v>
      </c>
      <c r="E482" s="1">
        <v>80</v>
      </c>
      <c r="F482" s="1">
        <v>80</v>
      </c>
      <c r="G482" s="1">
        <v>80</v>
      </c>
      <c r="H482" s="1">
        <v>80</v>
      </c>
    </row>
    <row r="483" spans="1:8" x14ac:dyDescent="0.25">
      <c r="A483" s="3" t="s">
        <v>218</v>
      </c>
      <c r="B483" s="1">
        <v>205</v>
      </c>
      <c r="C483" s="1">
        <v>20</v>
      </c>
      <c r="D483" s="1">
        <v>40</v>
      </c>
      <c r="E483" s="1">
        <v>15</v>
      </c>
      <c r="F483" s="1">
        <v>35</v>
      </c>
      <c r="G483" s="1">
        <v>35</v>
      </c>
      <c r="H483" s="1">
        <v>60</v>
      </c>
    </row>
    <row r="484" spans="1:8" x14ac:dyDescent="0.25">
      <c r="A484" s="3" t="s">
        <v>45</v>
      </c>
      <c r="B484" s="1">
        <v>479</v>
      </c>
      <c r="C484" s="1">
        <v>83</v>
      </c>
      <c r="D484" s="1">
        <v>80</v>
      </c>
      <c r="E484" s="1">
        <v>75</v>
      </c>
      <c r="F484" s="1">
        <v>70</v>
      </c>
      <c r="G484" s="1">
        <v>70</v>
      </c>
      <c r="H484" s="1">
        <v>101</v>
      </c>
    </row>
    <row r="485" spans="1:8" x14ac:dyDescent="0.25">
      <c r="A485" s="3" t="s">
        <v>43</v>
      </c>
      <c r="B485" s="1">
        <v>349</v>
      </c>
      <c r="C485" s="1">
        <v>63</v>
      </c>
      <c r="D485" s="1">
        <v>60</v>
      </c>
      <c r="E485" s="1">
        <v>55</v>
      </c>
      <c r="F485" s="1">
        <v>50</v>
      </c>
      <c r="G485" s="1">
        <v>50</v>
      </c>
      <c r="H485" s="1">
        <v>71</v>
      </c>
    </row>
    <row r="486" spans="1:8" x14ac:dyDescent="0.25">
      <c r="A486" s="3" t="s">
        <v>41</v>
      </c>
      <c r="B486" s="1">
        <v>251</v>
      </c>
      <c r="C486" s="1">
        <v>40</v>
      </c>
      <c r="D486" s="1">
        <v>45</v>
      </c>
      <c r="E486" s="1">
        <v>40</v>
      </c>
      <c r="F486" s="1">
        <v>35</v>
      </c>
      <c r="G486" s="1">
        <v>35</v>
      </c>
      <c r="H486" s="1">
        <v>56</v>
      </c>
    </row>
    <row r="487" spans="1:8" x14ac:dyDescent="0.25">
      <c r="A487" s="3" t="s">
        <v>610</v>
      </c>
      <c r="B487" s="1">
        <v>264</v>
      </c>
      <c r="C487" s="1">
        <v>50</v>
      </c>
      <c r="D487" s="1">
        <v>55</v>
      </c>
      <c r="E487" s="1">
        <v>50</v>
      </c>
      <c r="F487" s="1">
        <v>36</v>
      </c>
      <c r="G487" s="1">
        <v>30</v>
      </c>
      <c r="H487" s="1">
        <v>43</v>
      </c>
    </row>
    <row r="488" spans="1:8" x14ac:dyDescent="0.25">
      <c r="A488" s="3" t="s">
        <v>590</v>
      </c>
      <c r="B488" s="1">
        <v>418</v>
      </c>
      <c r="C488" s="1">
        <v>90</v>
      </c>
      <c r="D488" s="1">
        <v>93</v>
      </c>
      <c r="E488" s="1">
        <v>55</v>
      </c>
      <c r="F488" s="1">
        <v>70</v>
      </c>
      <c r="G488" s="1">
        <v>55</v>
      </c>
      <c r="H488" s="1">
        <v>55</v>
      </c>
    </row>
    <row r="489" spans="1:8" x14ac:dyDescent="0.25">
      <c r="A489" s="3" t="s">
        <v>52</v>
      </c>
      <c r="B489" s="1">
        <v>320</v>
      </c>
      <c r="C489" s="1">
        <v>35</v>
      </c>
      <c r="D489" s="1">
        <v>55</v>
      </c>
      <c r="E489" s="1">
        <v>40</v>
      </c>
      <c r="F489" s="1">
        <v>50</v>
      </c>
      <c r="G489" s="1">
        <v>50</v>
      </c>
      <c r="H489" s="1">
        <v>90</v>
      </c>
    </row>
    <row r="490" spans="1:8" x14ac:dyDescent="0.25">
      <c r="A490" s="3" t="s">
        <v>271</v>
      </c>
      <c r="B490" s="1">
        <v>450</v>
      </c>
      <c r="C490" s="1">
        <v>100</v>
      </c>
      <c r="D490" s="1">
        <v>100</v>
      </c>
      <c r="E490" s="1">
        <v>80</v>
      </c>
      <c r="F490" s="1">
        <v>60</v>
      </c>
      <c r="G490" s="1">
        <v>60</v>
      </c>
      <c r="H490" s="1">
        <v>50</v>
      </c>
    </row>
    <row r="491" spans="1:8" x14ac:dyDescent="0.25">
      <c r="A491" s="3" t="s">
        <v>251</v>
      </c>
      <c r="B491" s="1">
        <v>290</v>
      </c>
      <c r="C491" s="1">
        <v>50</v>
      </c>
      <c r="D491" s="1">
        <v>65</v>
      </c>
      <c r="E491" s="1">
        <v>90</v>
      </c>
      <c r="F491" s="1">
        <v>35</v>
      </c>
      <c r="G491" s="1">
        <v>35</v>
      </c>
      <c r="H491" s="1">
        <v>15</v>
      </c>
    </row>
    <row r="492" spans="1:8" x14ac:dyDescent="0.25">
      <c r="A492" s="3" t="s">
        <v>168</v>
      </c>
      <c r="B492" s="1">
        <v>500</v>
      </c>
      <c r="C492" s="1">
        <v>65</v>
      </c>
      <c r="D492" s="1">
        <v>125</v>
      </c>
      <c r="E492" s="1">
        <v>100</v>
      </c>
      <c r="F492" s="1">
        <v>55</v>
      </c>
      <c r="G492" s="1">
        <v>70</v>
      </c>
      <c r="H492" s="1">
        <v>85</v>
      </c>
    </row>
    <row r="493" spans="1:8" x14ac:dyDescent="0.25">
      <c r="A493" s="3" t="s">
        <v>470</v>
      </c>
      <c r="B493" s="1">
        <v>314</v>
      </c>
      <c r="C493" s="1">
        <v>53</v>
      </c>
      <c r="D493" s="1">
        <v>51</v>
      </c>
      <c r="E493" s="1">
        <v>53</v>
      </c>
      <c r="F493" s="1">
        <v>61</v>
      </c>
      <c r="G493" s="1">
        <v>56</v>
      </c>
      <c r="H493" s="1">
        <v>40</v>
      </c>
    </row>
    <row r="494" spans="1:8" x14ac:dyDescent="0.25">
      <c r="A494" s="3" t="s">
        <v>372</v>
      </c>
      <c r="B494" s="1">
        <v>405</v>
      </c>
      <c r="C494" s="1">
        <v>60</v>
      </c>
      <c r="D494" s="1">
        <v>50</v>
      </c>
      <c r="E494" s="1">
        <v>40</v>
      </c>
      <c r="F494" s="1">
        <v>85</v>
      </c>
      <c r="G494" s="1">
        <v>75</v>
      </c>
      <c r="H494" s="1">
        <v>95</v>
      </c>
    </row>
    <row r="495" spans="1:8" x14ac:dyDescent="0.25">
      <c r="A495" s="3" t="s">
        <v>233</v>
      </c>
      <c r="B495" s="1">
        <v>500</v>
      </c>
      <c r="C495" s="1">
        <v>90</v>
      </c>
      <c r="D495" s="1">
        <v>75</v>
      </c>
      <c r="E495" s="1">
        <v>75</v>
      </c>
      <c r="F495" s="1">
        <v>90</v>
      </c>
      <c r="G495" s="1">
        <v>100</v>
      </c>
      <c r="H495" s="1">
        <v>70</v>
      </c>
    </row>
    <row r="496" spans="1:8" x14ac:dyDescent="0.25">
      <c r="A496" s="3" t="s">
        <v>91</v>
      </c>
      <c r="B496" s="1">
        <v>300</v>
      </c>
      <c r="C496" s="1">
        <v>40</v>
      </c>
      <c r="D496" s="1">
        <v>50</v>
      </c>
      <c r="E496" s="1">
        <v>40</v>
      </c>
      <c r="F496" s="1">
        <v>40</v>
      </c>
      <c r="G496" s="1">
        <v>40</v>
      </c>
      <c r="H496" s="1">
        <v>90</v>
      </c>
    </row>
    <row r="497" spans="1:8" x14ac:dyDescent="0.25">
      <c r="A497" s="3" t="s">
        <v>92</v>
      </c>
      <c r="B497" s="1">
        <v>385</v>
      </c>
      <c r="C497" s="1">
        <v>65</v>
      </c>
      <c r="D497" s="1">
        <v>65</v>
      </c>
      <c r="E497" s="1">
        <v>65</v>
      </c>
      <c r="F497" s="1">
        <v>50</v>
      </c>
      <c r="G497" s="1">
        <v>50</v>
      </c>
      <c r="H497" s="1">
        <v>90</v>
      </c>
    </row>
    <row r="498" spans="1:8" x14ac:dyDescent="0.25">
      <c r="A498" s="3" t="s">
        <v>93</v>
      </c>
      <c r="B498" s="1">
        <v>510</v>
      </c>
      <c r="C498" s="1">
        <v>90</v>
      </c>
      <c r="D498" s="1">
        <v>95</v>
      </c>
      <c r="E498" s="1">
        <v>95</v>
      </c>
      <c r="F498" s="1">
        <v>70</v>
      </c>
      <c r="G498" s="1">
        <v>90</v>
      </c>
      <c r="H498" s="1">
        <v>70</v>
      </c>
    </row>
    <row r="499" spans="1:8" x14ac:dyDescent="0.25">
      <c r="A499" s="3" t="s">
        <v>111</v>
      </c>
      <c r="B499" s="1">
        <v>410</v>
      </c>
      <c r="C499" s="1">
        <v>50</v>
      </c>
      <c r="D499" s="1">
        <v>85</v>
      </c>
      <c r="E499" s="1">
        <v>55</v>
      </c>
      <c r="F499" s="1">
        <v>65</v>
      </c>
      <c r="G499" s="1">
        <v>65</v>
      </c>
      <c r="H499" s="1">
        <v>90</v>
      </c>
    </row>
    <row r="500" spans="1:8" x14ac:dyDescent="0.25">
      <c r="A500" s="3" t="s">
        <v>316</v>
      </c>
      <c r="B500" s="1">
        <v>220</v>
      </c>
      <c r="C500" s="1">
        <v>35</v>
      </c>
      <c r="D500" s="1">
        <v>55</v>
      </c>
      <c r="E500" s="1">
        <v>35</v>
      </c>
      <c r="F500" s="1">
        <v>30</v>
      </c>
      <c r="G500" s="1">
        <v>30</v>
      </c>
      <c r="H500" s="1">
        <v>35</v>
      </c>
    </row>
    <row r="501" spans="1:8" x14ac:dyDescent="0.25">
      <c r="A501" s="3" t="s">
        <v>180</v>
      </c>
      <c r="B501" s="1">
        <v>395</v>
      </c>
      <c r="C501" s="1">
        <v>65</v>
      </c>
      <c r="D501" s="1">
        <v>60</v>
      </c>
      <c r="E501" s="1">
        <v>70</v>
      </c>
      <c r="F501" s="1">
        <v>85</v>
      </c>
      <c r="G501" s="1">
        <v>75</v>
      </c>
      <c r="H501" s="1">
        <v>40</v>
      </c>
    </row>
    <row r="502" spans="1:8" x14ac:dyDescent="0.25">
      <c r="A502" s="3" t="s">
        <v>284</v>
      </c>
      <c r="B502" s="1">
        <v>515</v>
      </c>
      <c r="C502" s="1">
        <v>85</v>
      </c>
      <c r="D502" s="1">
        <v>80</v>
      </c>
      <c r="E502" s="1">
        <v>90</v>
      </c>
      <c r="F502" s="1">
        <v>105</v>
      </c>
      <c r="G502" s="1">
        <v>95</v>
      </c>
      <c r="H502" s="1">
        <v>60</v>
      </c>
    </row>
    <row r="503" spans="1:8" x14ac:dyDescent="0.25">
      <c r="A503" s="3" t="s">
        <v>557</v>
      </c>
      <c r="B503" s="1">
        <v>535</v>
      </c>
      <c r="C503" s="1">
        <v>85</v>
      </c>
      <c r="D503" s="1">
        <v>80</v>
      </c>
      <c r="E503" s="1">
        <v>70</v>
      </c>
      <c r="F503" s="1">
        <v>135</v>
      </c>
      <c r="G503" s="1">
        <v>75</v>
      </c>
      <c r="H503" s="1">
        <v>90</v>
      </c>
    </row>
    <row r="504" spans="1:8" x14ac:dyDescent="0.25">
      <c r="A504" s="3" t="s">
        <v>88</v>
      </c>
      <c r="B504" s="1">
        <v>455</v>
      </c>
      <c r="C504" s="1">
        <v>65</v>
      </c>
      <c r="D504" s="1">
        <v>105</v>
      </c>
      <c r="E504" s="1">
        <v>60</v>
      </c>
      <c r="F504" s="1">
        <v>60</v>
      </c>
      <c r="G504" s="1">
        <v>70</v>
      </c>
      <c r="H504" s="1">
        <v>95</v>
      </c>
    </row>
    <row r="505" spans="1:8" x14ac:dyDescent="0.25">
      <c r="A505" s="3" t="s">
        <v>471</v>
      </c>
      <c r="B505" s="1">
        <v>405</v>
      </c>
      <c r="C505" s="1">
        <v>64</v>
      </c>
      <c r="D505" s="1">
        <v>66</v>
      </c>
      <c r="E505" s="1">
        <v>68</v>
      </c>
      <c r="F505" s="1">
        <v>81</v>
      </c>
      <c r="G505" s="1">
        <v>76</v>
      </c>
      <c r="H505" s="1">
        <v>50</v>
      </c>
    </row>
    <row r="506" spans="1:8" x14ac:dyDescent="0.25">
      <c r="A506" s="3" t="s">
        <v>560</v>
      </c>
      <c r="B506" s="1">
        <v>525</v>
      </c>
      <c r="C506" s="1">
        <v>60</v>
      </c>
      <c r="D506" s="1">
        <v>55</v>
      </c>
      <c r="E506" s="1">
        <v>145</v>
      </c>
      <c r="F506" s="1">
        <v>75</v>
      </c>
      <c r="G506" s="1">
        <v>150</v>
      </c>
      <c r="H506" s="1">
        <v>40</v>
      </c>
    </row>
    <row r="507" spans="1:8" x14ac:dyDescent="0.25">
      <c r="A507" s="3" t="s">
        <v>84</v>
      </c>
      <c r="B507" s="1">
        <v>320</v>
      </c>
      <c r="C507" s="1">
        <v>50</v>
      </c>
      <c r="D507" s="1">
        <v>52</v>
      </c>
      <c r="E507" s="1">
        <v>48</v>
      </c>
      <c r="F507" s="1">
        <v>65</v>
      </c>
      <c r="G507" s="1">
        <v>50</v>
      </c>
      <c r="H507" s="1">
        <v>55</v>
      </c>
    </row>
    <row r="508" spans="1:8" x14ac:dyDescent="0.25">
      <c r="A508" s="3" t="s">
        <v>812</v>
      </c>
      <c r="B508" s="1">
        <v>335</v>
      </c>
      <c r="C508" s="1">
        <v>49</v>
      </c>
      <c r="D508" s="1">
        <v>66</v>
      </c>
      <c r="E508" s="1">
        <v>70</v>
      </c>
      <c r="F508" s="1">
        <v>44</v>
      </c>
      <c r="G508" s="1">
        <v>55</v>
      </c>
      <c r="H508" s="1">
        <v>51</v>
      </c>
    </row>
    <row r="509" spans="1:8" x14ac:dyDescent="0.25">
      <c r="A509" s="3" t="s">
        <v>813</v>
      </c>
      <c r="B509" s="1">
        <v>335</v>
      </c>
      <c r="C509" s="1">
        <v>54</v>
      </c>
      <c r="D509" s="1">
        <v>66</v>
      </c>
      <c r="E509" s="1">
        <v>70</v>
      </c>
      <c r="F509" s="1">
        <v>44</v>
      </c>
      <c r="G509" s="1">
        <v>55</v>
      </c>
      <c r="H509" s="1">
        <v>46</v>
      </c>
    </row>
    <row r="510" spans="1:8" x14ac:dyDescent="0.25">
      <c r="A510" s="3" t="s">
        <v>815</v>
      </c>
      <c r="B510" s="1">
        <v>335</v>
      </c>
      <c r="C510" s="1">
        <v>44</v>
      </c>
      <c r="D510" s="1">
        <v>66</v>
      </c>
      <c r="E510" s="1">
        <v>70</v>
      </c>
      <c r="F510" s="1">
        <v>44</v>
      </c>
      <c r="G510" s="1">
        <v>55</v>
      </c>
      <c r="H510" s="1">
        <v>56</v>
      </c>
    </row>
    <row r="511" spans="1:8" x14ac:dyDescent="0.25">
      <c r="A511" s="3" t="s">
        <v>814</v>
      </c>
      <c r="B511" s="1">
        <v>335</v>
      </c>
      <c r="C511" s="1">
        <v>59</v>
      </c>
      <c r="D511" s="1">
        <v>66</v>
      </c>
      <c r="E511" s="1">
        <v>70</v>
      </c>
      <c r="F511" s="1">
        <v>44</v>
      </c>
      <c r="G511" s="1">
        <v>55</v>
      </c>
      <c r="H511" s="1">
        <v>41</v>
      </c>
    </row>
    <row r="512" spans="1:8" x14ac:dyDescent="0.25">
      <c r="A512" s="3" t="s">
        <v>298</v>
      </c>
      <c r="B512" s="1">
        <v>410</v>
      </c>
      <c r="C512" s="1">
        <v>70</v>
      </c>
      <c r="D512" s="1">
        <v>84</v>
      </c>
      <c r="E512" s="1">
        <v>70</v>
      </c>
      <c r="F512" s="1">
        <v>65</v>
      </c>
      <c r="G512" s="1">
        <v>70</v>
      </c>
      <c r="H512" s="1">
        <v>51</v>
      </c>
    </row>
    <row r="513" spans="1:8" x14ac:dyDescent="0.25">
      <c r="A513" s="3" t="s">
        <v>600</v>
      </c>
      <c r="B513" s="1">
        <v>281</v>
      </c>
      <c r="C513" s="1">
        <v>41</v>
      </c>
      <c r="D513" s="1">
        <v>50</v>
      </c>
      <c r="E513" s="1">
        <v>37</v>
      </c>
      <c r="F513" s="1">
        <v>50</v>
      </c>
      <c r="G513" s="1">
        <v>37</v>
      </c>
      <c r="H513" s="1">
        <v>66</v>
      </c>
    </row>
    <row r="514" spans="1:8" x14ac:dyDescent="0.25">
      <c r="A514" s="3" t="s">
        <v>512</v>
      </c>
      <c r="B514" s="1">
        <v>452</v>
      </c>
      <c r="C514" s="1">
        <v>71</v>
      </c>
      <c r="D514" s="1">
        <v>82</v>
      </c>
      <c r="E514" s="1">
        <v>64</v>
      </c>
      <c r="F514" s="1">
        <v>64</v>
      </c>
      <c r="G514" s="1">
        <v>59</v>
      </c>
      <c r="H514" s="1">
        <v>112</v>
      </c>
    </row>
    <row r="515" spans="1:8" x14ac:dyDescent="0.25">
      <c r="A515" s="3" t="s">
        <v>768</v>
      </c>
      <c r="B515" s="1">
        <v>507</v>
      </c>
      <c r="C515" s="1">
        <v>86</v>
      </c>
      <c r="D515" s="1">
        <v>68</v>
      </c>
      <c r="E515" s="1">
        <v>72</v>
      </c>
      <c r="F515" s="1">
        <v>109</v>
      </c>
      <c r="G515" s="1">
        <v>66</v>
      </c>
      <c r="H515" s="1">
        <v>106</v>
      </c>
    </row>
    <row r="516" spans="1:8" x14ac:dyDescent="0.25">
      <c r="A516" s="3" t="s">
        <v>242</v>
      </c>
      <c r="B516" s="1">
        <v>430</v>
      </c>
      <c r="C516" s="1">
        <v>95</v>
      </c>
      <c r="D516" s="1">
        <v>85</v>
      </c>
      <c r="E516" s="1">
        <v>85</v>
      </c>
      <c r="F516" s="1">
        <v>65</v>
      </c>
      <c r="G516" s="1">
        <v>65</v>
      </c>
      <c r="H516" s="1">
        <v>35</v>
      </c>
    </row>
    <row r="517" spans="1:8" x14ac:dyDescent="0.25">
      <c r="A517" s="3" t="s">
        <v>202</v>
      </c>
      <c r="B517" s="1">
        <v>405</v>
      </c>
      <c r="C517" s="1">
        <v>58</v>
      </c>
      <c r="D517" s="1">
        <v>64</v>
      </c>
      <c r="E517" s="1">
        <v>58</v>
      </c>
      <c r="F517" s="1">
        <v>80</v>
      </c>
      <c r="G517" s="1">
        <v>65</v>
      </c>
      <c r="H517" s="1">
        <v>80</v>
      </c>
    </row>
    <row r="518" spans="1:8" x14ac:dyDescent="0.25">
      <c r="A518" s="3" t="s">
        <v>751</v>
      </c>
      <c r="B518" s="1">
        <v>405</v>
      </c>
      <c r="C518" s="1">
        <v>61</v>
      </c>
      <c r="D518" s="1">
        <v>78</v>
      </c>
      <c r="E518" s="1">
        <v>95</v>
      </c>
      <c r="F518" s="1">
        <v>56</v>
      </c>
      <c r="G518" s="1">
        <v>58</v>
      </c>
      <c r="H518" s="1">
        <v>57</v>
      </c>
    </row>
    <row r="519" spans="1:8" x14ac:dyDescent="0.25">
      <c r="A519" s="3" t="s">
        <v>259</v>
      </c>
      <c r="B519" s="1">
        <v>430</v>
      </c>
      <c r="C519" s="1">
        <v>65</v>
      </c>
      <c r="D519" s="1">
        <v>95</v>
      </c>
      <c r="E519" s="1">
        <v>75</v>
      </c>
      <c r="F519" s="1">
        <v>55</v>
      </c>
      <c r="G519" s="1">
        <v>55</v>
      </c>
      <c r="H519" s="1">
        <v>85</v>
      </c>
    </row>
    <row r="520" spans="1:8" x14ac:dyDescent="0.25">
      <c r="A520" s="3" t="s">
        <v>54</v>
      </c>
      <c r="B520" s="1">
        <v>485</v>
      </c>
      <c r="C520" s="1">
        <v>60</v>
      </c>
      <c r="D520" s="1">
        <v>90</v>
      </c>
      <c r="E520" s="1">
        <v>55</v>
      </c>
      <c r="F520" s="1">
        <v>90</v>
      </c>
      <c r="G520" s="1">
        <v>80</v>
      </c>
      <c r="H520" s="1">
        <v>110</v>
      </c>
    </row>
    <row r="521" spans="1:8" x14ac:dyDescent="0.25">
      <c r="A521" s="3" t="s">
        <v>294</v>
      </c>
      <c r="B521" s="1">
        <v>580</v>
      </c>
      <c r="C521" s="1">
        <v>90</v>
      </c>
      <c r="D521" s="1">
        <v>85</v>
      </c>
      <c r="E521" s="1">
        <v>75</v>
      </c>
      <c r="F521" s="1">
        <v>115</v>
      </c>
      <c r="G521" s="1">
        <v>100</v>
      </c>
      <c r="H521" s="1">
        <v>115</v>
      </c>
    </row>
    <row r="522" spans="1:8" x14ac:dyDescent="0.25">
      <c r="A522" s="3" t="s">
        <v>335</v>
      </c>
      <c r="B522" s="1">
        <v>198</v>
      </c>
      <c r="C522" s="1">
        <v>28</v>
      </c>
      <c r="D522" s="1">
        <v>25</v>
      </c>
      <c r="E522" s="1">
        <v>25</v>
      </c>
      <c r="F522" s="1">
        <v>45</v>
      </c>
      <c r="G522" s="1">
        <v>35</v>
      </c>
      <c r="H522" s="1">
        <v>40</v>
      </c>
    </row>
    <row r="523" spans="1:8" x14ac:dyDescent="0.25">
      <c r="A523" s="3" t="s">
        <v>486</v>
      </c>
      <c r="B523" s="1">
        <v>495</v>
      </c>
      <c r="C523" s="1">
        <v>97</v>
      </c>
      <c r="D523" s="1">
        <v>165</v>
      </c>
      <c r="E523" s="1">
        <v>60</v>
      </c>
      <c r="F523" s="1">
        <v>65</v>
      </c>
      <c r="G523" s="1">
        <v>50</v>
      </c>
      <c r="H523" s="1">
        <v>58</v>
      </c>
    </row>
    <row r="524" spans="1:8" x14ac:dyDescent="0.25">
      <c r="A524" s="3" t="s">
        <v>112</v>
      </c>
      <c r="B524" s="1">
        <v>500</v>
      </c>
      <c r="C524" s="1">
        <v>65</v>
      </c>
      <c r="D524" s="1">
        <v>100</v>
      </c>
      <c r="E524" s="1">
        <v>70</v>
      </c>
      <c r="F524" s="1">
        <v>80</v>
      </c>
      <c r="G524" s="1">
        <v>80</v>
      </c>
      <c r="H524" s="1">
        <v>105</v>
      </c>
    </row>
    <row r="525" spans="1:8" x14ac:dyDescent="0.25">
      <c r="A525" s="3" t="s">
        <v>47</v>
      </c>
      <c r="B525" s="1">
        <v>413</v>
      </c>
      <c r="C525" s="1">
        <v>55</v>
      </c>
      <c r="D525" s="1">
        <v>81</v>
      </c>
      <c r="E525" s="1">
        <v>60</v>
      </c>
      <c r="F525" s="1">
        <v>50</v>
      </c>
      <c r="G525" s="1">
        <v>70</v>
      </c>
      <c r="H525" s="1">
        <v>97</v>
      </c>
    </row>
    <row r="526" spans="1:8" x14ac:dyDescent="0.25">
      <c r="A526" s="3" t="s">
        <v>46</v>
      </c>
      <c r="B526" s="1">
        <v>253</v>
      </c>
      <c r="C526" s="1">
        <v>30</v>
      </c>
      <c r="D526" s="1">
        <v>56</v>
      </c>
      <c r="E526" s="1">
        <v>35</v>
      </c>
      <c r="F526" s="1">
        <v>25</v>
      </c>
      <c r="G526" s="1">
        <v>35</v>
      </c>
      <c r="H526" s="1">
        <v>72</v>
      </c>
    </row>
    <row r="527" spans="1:8" x14ac:dyDescent="0.25">
      <c r="A527" s="3" t="s">
        <v>458</v>
      </c>
      <c r="B527" s="1">
        <v>680</v>
      </c>
      <c r="C527" s="1">
        <v>105</v>
      </c>
      <c r="D527" s="1">
        <v>150</v>
      </c>
      <c r="E527" s="1">
        <v>90</v>
      </c>
      <c r="F527" s="1">
        <v>150</v>
      </c>
      <c r="G527" s="1">
        <v>90</v>
      </c>
      <c r="H527" s="1">
        <v>95</v>
      </c>
    </row>
    <row r="528" spans="1:8" x14ac:dyDescent="0.25">
      <c r="A528" s="3" t="s">
        <v>447</v>
      </c>
      <c r="B528" s="1">
        <v>580</v>
      </c>
      <c r="C528" s="1">
        <v>80</v>
      </c>
      <c r="D528" s="1">
        <v>50</v>
      </c>
      <c r="E528" s="1">
        <v>100</v>
      </c>
      <c r="F528" s="1">
        <v>100</v>
      </c>
      <c r="G528" s="1">
        <v>200</v>
      </c>
      <c r="H528" s="1">
        <v>50</v>
      </c>
    </row>
    <row r="529" spans="1:8" x14ac:dyDescent="0.25">
      <c r="A529" s="3" t="s">
        <v>575</v>
      </c>
      <c r="B529" s="1">
        <v>670</v>
      </c>
      <c r="C529" s="1">
        <v>110</v>
      </c>
      <c r="D529" s="1">
        <v>160</v>
      </c>
      <c r="E529" s="1">
        <v>110</v>
      </c>
      <c r="F529" s="1">
        <v>80</v>
      </c>
      <c r="G529" s="1">
        <v>110</v>
      </c>
      <c r="H529" s="1">
        <v>100</v>
      </c>
    </row>
    <row r="530" spans="1:8" x14ac:dyDescent="0.25">
      <c r="A530" s="3" t="s">
        <v>446</v>
      </c>
      <c r="B530" s="1">
        <v>580</v>
      </c>
      <c r="C530" s="1">
        <v>80</v>
      </c>
      <c r="D530" s="1">
        <v>100</v>
      </c>
      <c r="E530" s="1">
        <v>200</v>
      </c>
      <c r="F530" s="1">
        <v>50</v>
      </c>
      <c r="G530" s="1">
        <v>100</v>
      </c>
      <c r="H530" s="1">
        <v>50</v>
      </c>
    </row>
    <row r="531" spans="1:8" x14ac:dyDescent="0.25">
      <c r="A531" s="3" t="s">
        <v>448</v>
      </c>
      <c r="B531" s="1">
        <v>580</v>
      </c>
      <c r="C531" s="1">
        <v>80</v>
      </c>
      <c r="D531" s="1">
        <v>75</v>
      </c>
      <c r="E531" s="1">
        <v>150</v>
      </c>
      <c r="F531" s="1">
        <v>75</v>
      </c>
      <c r="G531" s="1">
        <v>150</v>
      </c>
      <c r="H531" s="1">
        <v>50</v>
      </c>
    </row>
    <row r="532" spans="1:8" x14ac:dyDescent="0.25">
      <c r="A532" s="3" t="s">
        <v>436</v>
      </c>
      <c r="B532" s="1">
        <v>485</v>
      </c>
      <c r="C532" s="1">
        <v>100</v>
      </c>
      <c r="D532" s="1">
        <v>90</v>
      </c>
      <c r="E532" s="1">
        <v>130</v>
      </c>
      <c r="F532" s="1">
        <v>45</v>
      </c>
      <c r="G532" s="1">
        <v>65</v>
      </c>
      <c r="H532" s="1">
        <v>55</v>
      </c>
    </row>
    <row r="533" spans="1:8" x14ac:dyDescent="0.25">
      <c r="A533" s="3" t="s">
        <v>273</v>
      </c>
      <c r="B533" s="1">
        <v>300</v>
      </c>
      <c r="C533" s="1">
        <v>35</v>
      </c>
      <c r="D533" s="1">
        <v>65</v>
      </c>
      <c r="E533" s="1">
        <v>35</v>
      </c>
      <c r="F533" s="1">
        <v>65</v>
      </c>
      <c r="G533" s="1">
        <v>35</v>
      </c>
      <c r="H533" s="1">
        <v>65</v>
      </c>
    </row>
    <row r="534" spans="1:8" x14ac:dyDescent="0.25">
      <c r="A534" s="3" t="s">
        <v>738</v>
      </c>
      <c r="B534" s="1">
        <v>680</v>
      </c>
      <c r="C534" s="1">
        <v>100</v>
      </c>
      <c r="D534" s="1">
        <v>120</v>
      </c>
      <c r="E534" s="1">
        <v>100</v>
      </c>
      <c r="F534" s="1">
        <v>150</v>
      </c>
      <c r="G534" s="1">
        <v>120</v>
      </c>
      <c r="H534" s="1">
        <v>90</v>
      </c>
    </row>
    <row r="535" spans="1:8" x14ac:dyDescent="0.25">
      <c r="A535" s="3" t="s">
        <v>672</v>
      </c>
      <c r="B535" s="1">
        <v>490</v>
      </c>
      <c r="C535" s="1">
        <v>110</v>
      </c>
      <c r="D535" s="1">
        <v>65</v>
      </c>
      <c r="E535" s="1">
        <v>75</v>
      </c>
      <c r="F535" s="1">
        <v>125</v>
      </c>
      <c r="G535" s="1">
        <v>85</v>
      </c>
      <c r="H535" s="1">
        <v>30</v>
      </c>
    </row>
    <row r="536" spans="1:8" x14ac:dyDescent="0.25">
      <c r="A536" s="3" t="s">
        <v>151</v>
      </c>
      <c r="B536" s="1">
        <v>485</v>
      </c>
      <c r="C536" s="1">
        <v>105</v>
      </c>
      <c r="D536" s="1">
        <v>130</v>
      </c>
      <c r="E536" s="1">
        <v>120</v>
      </c>
      <c r="F536" s="1">
        <v>45</v>
      </c>
      <c r="G536" s="1">
        <v>45</v>
      </c>
      <c r="H536" s="1">
        <v>40</v>
      </c>
    </row>
    <row r="537" spans="1:8" x14ac:dyDescent="0.25">
      <c r="A537" s="3" t="s">
        <v>150</v>
      </c>
      <c r="B537" s="1">
        <v>345</v>
      </c>
      <c r="C537" s="1">
        <v>80</v>
      </c>
      <c r="D537" s="1">
        <v>85</v>
      </c>
      <c r="E537" s="1">
        <v>95</v>
      </c>
      <c r="F537" s="1">
        <v>30</v>
      </c>
      <c r="G537" s="1">
        <v>30</v>
      </c>
      <c r="H537" s="1">
        <v>25</v>
      </c>
    </row>
    <row r="538" spans="1:8" x14ac:dyDescent="0.25">
      <c r="A538" s="3" t="s">
        <v>547</v>
      </c>
      <c r="B538" s="1">
        <v>535</v>
      </c>
      <c r="C538" s="1">
        <v>115</v>
      </c>
      <c r="D538" s="1">
        <v>140</v>
      </c>
      <c r="E538" s="1">
        <v>130</v>
      </c>
      <c r="F538" s="1">
        <v>55</v>
      </c>
      <c r="G538" s="1">
        <v>55</v>
      </c>
      <c r="H538" s="1">
        <v>40</v>
      </c>
    </row>
    <row r="539" spans="1:8" x14ac:dyDescent="0.25">
      <c r="A539" s="3" t="s">
        <v>528</v>
      </c>
      <c r="B539" s="1">
        <v>285</v>
      </c>
      <c r="C539" s="1">
        <v>40</v>
      </c>
      <c r="D539" s="1">
        <v>70</v>
      </c>
      <c r="E539" s="1">
        <v>40</v>
      </c>
      <c r="F539" s="1">
        <v>35</v>
      </c>
      <c r="G539" s="1">
        <v>40</v>
      </c>
      <c r="H539" s="1">
        <v>60</v>
      </c>
    </row>
    <row r="540" spans="1:8" x14ac:dyDescent="0.25">
      <c r="A540" s="3" t="s">
        <v>615</v>
      </c>
      <c r="B540" s="1">
        <v>280</v>
      </c>
      <c r="C540" s="1">
        <v>55</v>
      </c>
      <c r="D540" s="1">
        <v>75</v>
      </c>
      <c r="E540" s="1">
        <v>85</v>
      </c>
      <c r="F540" s="1">
        <v>25</v>
      </c>
      <c r="G540" s="1">
        <v>25</v>
      </c>
      <c r="H540" s="1">
        <v>15</v>
      </c>
    </row>
    <row r="541" spans="1:8" x14ac:dyDescent="0.25">
      <c r="A541" s="3" t="s">
        <v>376</v>
      </c>
      <c r="B541" s="1">
        <v>400</v>
      </c>
      <c r="C541" s="1">
        <v>50</v>
      </c>
      <c r="D541" s="1">
        <v>60</v>
      </c>
      <c r="E541" s="1">
        <v>45</v>
      </c>
      <c r="F541" s="1">
        <v>100</v>
      </c>
      <c r="G541" s="1">
        <v>80</v>
      </c>
      <c r="H541" s="1">
        <v>65</v>
      </c>
    </row>
    <row r="542" spans="1:8" x14ac:dyDescent="0.25">
      <c r="A542" s="3" t="s">
        <v>484</v>
      </c>
      <c r="B542" s="1">
        <v>515</v>
      </c>
      <c r="C542" s="1">
        <v>60</v>
      </c>
      <c r="D542" s="1">
        <v>70</v>
      </c>
      <c r="E542" s="1">
        <v>65</v>
      </c>
      <c r="F542" s="1">
        <v>125</v>
      </c>
      <c r="G542" s="1">
        <v>105</v>
      </c>
      <c r="H542" s="1">
        <v>90</v>
      </c>
    </row>
    <row r="543" spans="1:8" x14ac:dyDescent="0.25">
      <c r="A543" s="3" t="s">
        <v>563</v>
      </c>
      <c r="B543" s="1">
        <v>440</v>
      </c>
      <c r="C543" s="1">
        <v>50</v>
      </c>
      <c r="D543" s="1">
        <v>50</v>
      </c>
      <c r="E543" s="1">
        <v>77</v>
      </c>
      <c r="F543" s="1">
        <v>95</v>
      </c>
      <c r="G543" s="1">
        <v>77</v>
      </c>
      <c r="H543" s="1">
        <v>91</v>
      </c>
    </row>
    <row r="544" spans="1:8" x14ac:dyDescent="0.25">
      <c r="A544" s="3" t="s">
        <v>567</v>
      </c>
      <c r="B544" s="1">
        <v>520</v>
      </c>
      <c r="C544" s="1">
        <v>50</v>
      </c>
      <c r="D544" s="1">
        <v>65</v>
      </c>
      <c r="E544" s="1">
        <v>107</v>
      </c>
      <c r="F544" s="1">
        <v>105</v>
      </c>
      <c r="G544" s="1">
        <v>107</v>
      </c>
      <c r="H544" s="1">
        <v>86</v>
      </c>
    </row>
    <row r="545" spans="1:8" x14ac:dyDescent="0.25">
      <c r="A545" s="3" t="s">
        <v>564</v>
      </c>
      <c r="B545" s="1">
        <v>520</v>
      </c>
      <c r="C545" s="1">
        <v>50</v>
      </c>
      <c r="D545" s="1">
        <v>65</v>
      </c>
      <c r="E545" s="1">
        <v>107</v>
      </c>
      <c r="F545" s="1">
        <v>105</v>
      </c>
      <c r="G545" s="1">
        <v>107</v>
      </c>
      <c r="H545" s="1">
        <v>86</v>
      </c>
    </row>
    <row r="546" spans="1:8" x14ac:dyDescent="0.25">
      <c r="A546" s="3" t="s">
        <v>565</v>
      </c>
      <c r="B546" s="1">
        <v>520</v>
      </c>
      <c r="C546" s="1">
        <v>50</v>
      </c>
      <c r="D546" s="1">
        <v>65</v>
      </c>
      <c r="E546" s="1">
        <v>107</v>
      </c>
      <c r="F546" s="1">
        <v>105</v>
      </c>
      <c r="G546" s="1">
        <v>107</v>
      </c>
      <c r="H546" s="1">
        <v>86</v>
      </c>
    </row>
    <row r="547" spans="1:8" x14ac:dyDescent="0.25">
      <c r="A547" s="3" t="s">
        <v>566</v>
      </c>
      <c r="B547" s="1">
        <v>520</v>
      </c>
      <c r="C547" s="1">
        <v>50</v>
      </c>
      <c r="D547" s="1">
        <v>65</v>
      </c>
      <c r="E547" s="1">
        <v>107</v>
      </c>
      <c r="F547" s="1">
        <v>105</v>
      </c>
      <c r="G547" s="1">
        <v>107</v>
      </c>
      <c r="H547" s="1">
        <v>86</v>
      </c>
    </row>
    <row r="548" spans="1:8" x14ac:dyDescent="0.25">
      <c r="A548" s="3" t="s">
        <v>568</v>
      </c>
      <c r="B548" s="1">
        <v>520</v>
      </c>
      <c r="C548" s="1">
        <v>50</v>
      </c>
      <c r="D548" s="1">
        <v>65</v>
      </c>
      <c r="E548" s="1">
        <v>107</v>
      </c>
      <c r="F548" s="1">
        <v>105</v>
      </c>
      <c r="G548" s="1">
        <v>107</v>
      </c>
      <c r="H548" s="1">
        <v>86</v>
      </c>
    </row>
    <row r="549" spans="1:8" x14ac:dyDescent="0.25">
      <c r="A549" s="3" t="s">
        <v>720</v>
      </c>
      <c r="B549" s="1">
        <v>350</v>
      </c>
      <c r="C549" s="1">
        <v>70</v>
      </c>
      <c r="D549" s="1">
        <v>83</v>
      </c>
      <c r="E549" s="1">
        <v>50</v>
      </c>
      <c r="F549" s="1">
        <v>37</v>
      </c>
      <c r="G549" s="1">
        <v>50</v>
      </c>
      <c r="H549" s="1">
        <v>60</v>
      </c>
    </row>
    <row r="550" spans="1:8" x14ac:dyDescent="0.25">
      <c r="A550" s="3" t="s">
        <v>358</v>
      </c>
      <c r="B550" s="1">
        <v>380</v>
      </c>
      <c r="C550" s="1">
        <v>50</v>
      </c>
      <c r="D550" s="1">
        <v>75</v>
      </c>
      <c r="E550" s="1">
        <v>75</v>
      </c>
      <c r="F550" s="1">
        <v>65</v>
      </c>
      <c r="G550" s="1">
        <v>65</v>
      </c>
      <c r="H550" s="1">
        <v>50</v>
      </c>
    </row>
    <row r="551" spans="1:8" x14ac:dyDescent="0.25">
      <c r="A551" s="3" t="s">
        <v>440</v>
      </c>
      <c r="B551" s="1">
        <v>600</v>
      </c>
      <c r="C551" s="1">
        <v>95</v>
      </c>
      <c r="D551" s="1">
        <v>135</v>
      </c>
      <c r="E551" s="1">
        <v>80</v>
      </c>
      <c r="F551" s="1">
        <v>110</v>
      </c>
      <c r="G551" s="1">
        <v>80</v>
      </c>
      <c r="H551" s="1">
        <v>100</v>
      </c>
    </row>
    <row r="552" spans="1:8" x14ac:dyDescent="0.25">
      <c r="A552" s="3" t="s">
        <v>594</v>
      </c>
      <c r="B552" s="1">
        <v>528</v>
      </c>
      <c r="C552" s="1">
        <v>95</v>
      </c>
      <c r="D552" s="1">
        <v>100</v>
      </c>
      <c r="E552" s="1">
        <v>85</v>
      </c>
      <c r="F552" s="1">
        <v>108</v>
      </c>
      <c r="G552" s="1">
        <v>70</v>
      </c>
      <c r="H552" s="1">
        <v>70</v>
      </c>
    </row>
    <row r="553" spans="1:8" x14ac:dyDescent="0.25">
      <c r="A553" s="3" t="s">
        <v>643</v>
      </c>
      <c r="B553" s="1">
        <v>292</v>
      </c>
      <c r="C553" s="1">
        <v>50</v>
      </c>
      <c r="D553" s="1">
        <v>72</v>
      </c>
      <c r="E553" s="1">
        <v>35</v>
      </c>
      <c r="F553" s="1">
        <v>35</v>
      </c>
      <c r="G553" s="1">
        <v>35</v>
      </c>
      <c r="H553" s="1">
        <v>65</v>
      </c>
    </row>
    <row r="554" spans="1:8" x14ac:dyDescent="0.25">
      <c r="A554" s="3" t="s">
        <v>55</v>
      </c>
      <c r="B554" s="1">
        <v>300</v>
      </c>
      <c r="C554" s="1">
        <v>50</v>
      </c>
      <c r="D554" s="1">
        <v>75</v>
      </c>
      <c r="E554" s="1">
        <v>85</v>
      </c>
      <c r="F554" s="1">
        <v>20</v>
      </c>
      <c r="G554" s="1">
        <v>30</v>
      </c>
      <c r="H554" s="1">
        <v>40</v>
      </c>
    </row>
    <row r="555" spans="1:8" x14ac:dyDescent="0.25">
      <c r="A555" s="3" t="s">
        <v>57</v>
      </c>
      <c r="B555" s="1">
        <v>450</v>
      </c>
      <c r="C555" s="1">
        <v>75</v>
      </c>
      <c r="D555" s="1">
        <v>100</v>
      </c>
      <c r="E555" s="1">
        <v>110</v>
      </c>
      <c r="F555" s="1">
        <v>45</v>
      </c>
      <c r="G555" s="1">
        <v>55</v>
      </c>
      <c r="H555" s="1">
        <v>65</v>
      </c>
    </row>
    <row r="556" spans="1:8" x14ac:dyDescent="0.25">
      <c r="A556" s="3" t="s">
        <v>631</v>
      </c>
      <c r="B556" s="1">
        <v>465</v>
      </c>
      <c r="C556" s="1">
        <v>75</v>
      </c>
      <c r="D556" s="1">
        <v>125</v>
      </c>
      <c r="E556" s="1">
        <v>75</v>
      </c>
      <c r="F556" s="1">
        <v>30</v>
      </c>
      <c r="G556" s="1">
        <v>75</v>
      </c>
      <c r="H556" s="1">
        <v>85</v>
      </c>
    </row>
    <row r="557" spans="1:8" x14ac:dyDescent="0.25">
      <c r="A557" s="3" t="s">
        <v>679</v>
      </c>
      <c r="B557" s="1">
        <v>475</v>
      </c>
      <c r="C557" s="1">
        <v>80</v>
      </c>
      <c r="D557" s="1">
        <v>100</v>
      </c>
      <c r="E557" s="1">
        <v>70</v>
      </c>
      <c r="F557" s="1">
        <v>60</v>
      </c>
      <c r="G557" s="1">
        <v>70</v>
      </c>
      <c r="H557" s="1">
        <v>95</v>
      </c>
    </row>
    <row r="558" spans="1:8" x14ac:dyDescent="0.25">
      <c r="A558" s="3" t="s">
        <v>764</v>
      </c>
      <c r="B558" s="1">
        <v>200</v>
      </c>
      <c r="C558" s="1">
        <v>38</v>
      </c>
      <c r="D558" s="1">
        <v>35</v>
      </c>
      <c r="E558" s="1">
        <v>40</v>
      </c>
      <c r="F558" s="1">
        <v>27</v>
      </c>
      <c r="G558" s="1">
        <v>25</v>
      </c>
      <c r="H558" s="1">
        <v>35</v>
      </c>
    </row>
    <row r="559" spans="1:8" x14ac:dyDescent="0.25">
      <c r="A559" s="3" t="s">
        <v>307</v>
      </c>
      <c r="B559" s="1">
        <v>530</v>
      </c>
      <c r="C559" s="1">
        <v>70</v>
      </c>
      <c r="D559" s="1">
        <v>85</v>
      </c>
      <c r="E559" s="1">
        <v>65</v>
      </c>
      <c r="F559" s="1">
        <v>105</v>
      </c>
      <c r="G559" s="1">
        <v>85</v>
      </c>
      <c r="H559" s="1">
        <v>120</v>
      </c>
    </row>
    <row r="560" spans="1:8" x14ac:dyDescent="0.25">
      <c r="A560" s="3" t="s">
        <v>261</v>
      </c>
      <c r="B560" s="1">
        <v>500</v>
      </c>
      <c r="C560" s="1">
        <v>70</v>
      </c>
      <c r="D560" s="1">
        <v>130</v>
      </c>
      <c r="E560" s="1">
        <v>100</v>
      </c>
      <c r="F560" s="1">
        <v>55</v>
      </c>
      <c r="G560" s="1">
        <v>80</v>
      </c>
      <c r="H560" s="1">
        <v>65</v>
      </c>
    </row>
    <row r="561" spans="1:8" x14ac:dyDescent="0.25">
      <c r="A561" s="3" t="s">
        <v>637</v>
      </c>
      <c r="B561" s="1">
        <v>485</v>
      </c>
      <c r="C561" s="1">
        <v>60</v>
      </c>
      <c r="D561" s="1">
        <v>100</v>
      </c>
      <c r="E561" s="1">
        <v>89</v>
      </c>
      <c r="F561" s="1">
        <v>55</v>
      </c>
      <c r="G561" s="1">
        <v>69</v>
      </c>
      <c r="H561" s="1">
        <v>112</v>
      </c>
    </row>
    <row r="562" spans="1:8" x14ac:dyDescent="0.25">
      <c r="A562" s="3" t="s">
        <v>653</v>
      </c>
      <c r="B562" s="1">
        <v>488</v>
      </c>
      <c r="C562" s="1">
        <v>65</v>
      </c>
      <c r="D562" s="1">
        <v>90</v>
      </c>
      <c r="E562" s="1">
        <v>115</v>
      </c>
      <c r="F562" s="1">
        <v>45</v>
      </c>
      <c r="G562" s="1">
        <v>115</v>
      </c>
      <c r="H562" s="1">
        <v>58</v>
      </c>
    </row>
    <row r="563" spans="1:8" x14ac:dyDescent="0.25">
      <c r="A563" s="3" t="s">
        <v>652</v>
      </c>
      <c r="B563" s="1">
        <v>348</v>
      </c>
      <c r="C563" s="1">
        <v>50</v>
      </c>
      <c r="D563" s="1">
        <v>75</v>
      </c>
      <c r="E563" s="1">
        <v>70</v>
      </c>
      <c r="F563" s="1">
        <v>35</v>
      </c>
      <c r="G563" s="1">
        <v>70</v>
      </c>
      <c r="H563" s="1">
        <v>48</v>
      </c>
    </row>
    <row r="564" spans="1:8" x14ac:dyDescent="0.25">
      <c r="A564" s="3" t="s">
        <v>163</v>
      </c>
      <c r="B564" s="1">
        <v>500</v>
      </c>
      <c r="C564" s="1">
        <v>70</v>
      </c>
      <c r="D564" s="1">
        <v>110</v>
      </c>
      <c r="E564" s="1">
        <v>80</v>
      </c>
      <c r="F564" s="1">
        <v>55</v>
      </c>
      <c r="G564" s="1">
        <v>80</v>
      </c>
      <c r="H564" s="1">
        <v>105</v>
      </c>
    </row>
    <row r="565" spans="1:8" x14ac:dyDescent="0.25">
      <c r="A565" s="3" t="s">
        <v>157</v>
      </c>
      <c r="B565" s="1">
        <v>440</v>
      </c>
      <c r="C565" s="1">
        <v>55</v>
      </c>
      <c r="D565" s="1">
        <v>65</v>
      </c>
      <c r="E565" s="1">
        <v>95</v>
      </c>
      <c r="F565" s="1">
        <v>95</v>
      </c>
      <c r="G565" s="1">
        <v>45</v>
      </c>
      <c r="H565" s="1">
        <v>85</v>
      </c>
    </row>
    <row r="566" spans="1:8" x14ac:dyDescent="0.25">
      <c r="A566" s="3" t="s">
        <v>159</v>
      </c>
      <c r="B566" s="1">
        <v>450</v>
      </c>
      <c r="C566" s="1">
        <v>80</v>
      </c>
      <c r="D566" s="1">
        <v>92</v>
      </c>
      <c r="E566" s="1">
        <v>65</v>
      </c>
      <c r="F566" s="1">
        <v>65</v>
      </c>
      <c r="G566" s="1">
        <v>80</v>
      </c>
      <c r="H566" s="1">
        <v>68</v>
      </c>
    </row>
    <row r="567" spans="1:8" x14ac:dyDescent="0.25">
      <c r="A567" s="3" t="s">
        <v>431</v>
      </c>
      <c r="B567" s="1">
        <v>410</v>
      </c>
      <c r="C567" s="1">
        <v>90</v>
      </c>
      <c r="D567" s="1">
        <v>60</v>
      </c>
      <c r="E567" s="1">
        <v>70</v>
      </c>
      <c r="F567" s="1">
        <v>75</v>
      </c>
      <c r="G567" s="1">
        <v>70</v>
      </c>
      <c r="H567" s="1">
        <v>45</v>
      </c>
    </row>
    <row r="568" spans="1:8" x14ac:dyDescent="0.25">
      <c r="A568" s="3" t="s">
        <v>328</v>
      </c>
      <c r="B568" s="1">
        <v>220</v>
      </c>
      <c r="C568" s="1">
        <v>40</v>
      </c>
      <c r="D568" s="1">
        <v>40</v>
      </c>
      <c r="E568" s="1">
        <v>50</v>
      </c>
      <c r="F568" s="1">
        <v>30</v>
      </c>
      <c r="G568" s="1">
        <v>30</v>
      </c>
      <c r="H568" s="1">
        <v>30</v>
      </c>
    </row>
    <row r="569" spans="1:8" x14ac:dyDescent="0.25">
      <c r="A569" s="3" t="s">
        <v>122</v>
      </c>
      <c r="B569" s="1">
        <v>325</v>
      </c>
      <c r="C569" s="1">
        <v>65</v>
      </c>
      <c r="D569" s="1">
        <v>45</v>
      </c>
      <c r="E569" s="1">
        <v>55</v>
      </c>
      <c r="F569" s="1">
        <v>45</v>
      </c>
      <c r="G569" s="1">
        <v>70</v>
      </c>
      <c r="H569" s="1">
        <v>45</v>
      </c>
    </row>
    <row r="570" spans="1:8" x14ac:dyDescent="0.25">
      <c r="A570" s="3" t="s">
        <v>629</v>
      </c>
      <c r="B570" s="1">
        <v>509</v>
      </c>
      <c r="C570" s="1">
        <v>105</v>
      </c>
      <c r="D570" s="1">
        <v>95</v>
      </c>
      <c r="E570" s="1">
        <v>75</v>
      </c>
      <c r="F570" s="1">
        <v>85</v>
      </c>
      <c r="G570" s="1">
        <v>75</v>
      </c>
      <c r="H570" s="1">
        <v>74</v>
      </c>
    </row>
    <row r="571" spans="1:8" x14ac:dyDescent="0.25">
      <c r="A571" s="3" t="s">
        <v>207</v>
      </c>
      <c r="B571" s="1">
        <v>215</v>
      </c>
      <c r="C571" s="1">
        <v>35</v>
      </c>
      <c r="D571" s="1">
        <v>46</v>
      </c>
      <c r="E571" s="1">
        <v>34</v>
      </c>
      <c r="F571" s="1">
        <v>35</v>
      </c>
      <c r="G571" s="1">
        <v>45</v>
      </c>
      <c r="H571" s="1">
        <v>20</v>
      </c>
    </row>
    <row r="572" spans="1:8" x14ac:dyDescent="0.25">
      <c r="A572" s="3" t="s">
        <v>588</v>
      </c>
      <c r="B572" s="1">
        <v>528</v>
      </c>
      <c r="C572" s="1">
        <v>75</v>
      </c>
      <c r="D572" s="1">
        <v>75</v>
      </c>
      <c r="E572" s="1">
        <v>95</v>
      </c>
      <c r="F572" s="1">
        <v>75</v>
      </c>
      <c r="G572" s="1">
        <v>95</v>
      </c>
      <c r="H572" s="1">
        <v>113</v>
      </c>
    </row>
    <row r="573" spans="1:8" x14ac:dyDescent="0.25">
      <c r="A573" s="3" t="s">
        <v>587</v>
      </c>
      <c r="B573" s="1">
        <v>413</v>
      </c>
      <c r="C573" s="1">
        <v>60</v>
      </c>
      <c r="D573" s="1">
        <v>60</v>
      </c>
      <c r="E573" s="1">
        <v>75</v>
      </c>
      <c r="F573" s="1">
        <v>60</v>
      </c>
      <c r="G573" s="1">
        <v>75</v>
      </c>
      <c r="H573" s="1">
        <v>83</v>
      </c>
    </row>
    <row r="574" spans="1:8" x14ac:dyDescent="0.25">
      <c r="A574" s="3" t="s">
        <v>400</v>
      </c>
      <c r="B574" s="1">
        <v>458</v>
      </c>
      <c r="C574" s="1">
        <v>73</v>
      </c>
      <c r="D574" s="1">
        <v>100</v>
      </c>
      <c r="E574" s="1">
        <v>60</v>
      </c>
      <c r="F574" s="1">
        <v>100</v>
      </c>
      <c r="G574" s="1">
        <v>60</v>
      </c>
      <c r="H574" s="1">
        <v>65</v>
      </c>
    </row>
    <row r="575" spans="1:8" x14ac:dyDescent="0.25">
      <c r="A575" s="3" t="s">
        <v>632</v>
      </c>
      <c r="B575" s="1">
        <v>310</v>
      </c>
      <c r="C575" s="1">
        <v>45</v>
      </c>
      <c r="D575" s="1">
        <v>53</v>
      </c>
      <c r="E575" s="1">
        <v>70</v>
      </c>
      <c r="F575" s="1">
        <v>40</v>
      </c>
      <c r="G575" s="1">
        <v>60</v>
      </c>
      <c r="H575" s="1">
        <v>42</v>
      </c>
    </row>
    <row r="576" spans="1:8" x14ac:dyDescent="0.25">
      <c r="A576" s="3" t="s">
        <v>381</v>
      </c>
      <c r="B576" s="1">
        <v>460</v>
      </c>
      <c r="C576" s="1">
        <v>70</v>
      </c>
      <c r="D576" s="1">
        <v>120</v>
      </c>
      <c r="E576" s="1">
        <v>40</v>
      </c>
      <c r="F576" s="1">
        <v>95</v>
      </c>
      <c r="G576" s="1">
        <v>40</v>
      </c>
      <c r="H576" s="1">
        <v>95</v>
      </c>
    </row>
    <row r="577" spans="1:8" x14ac:dyDescent="0.25">
      <c r="A577" s="3" t="s">
        <v>582</v>
      </c>
      <c r="B577" s="1">
        <v>600</v>
      </c>
      <c r="C577" s="1">
        <v>100</v>
      </c>
      <c r="D577" s="1">
        <v>100</v>
      </c>
      <c r="E577" s="1">
        <v>100</v>
      </c>
      <c r="F577" s="1">
        <v>100</v>
      </c>
      <c r="G577" s="1">
        <v>100</v>
      </c>
      <c r="H577" s="1">
        <v>100</v>
      </c>
    </row>
    <row r="578" spans="1:8" x14ac:dyDescent="0.25">
      <c r="A578" s="3" t="s">
        <v>583</v>
      </c>
      <c r="B578" s="1">
        <v>600</v>
      </c>
      <c r="C578" s="1">
        <v>100</v>
      </c>
      <c r="D578" s="1">
        <v>103</v>
      </c>
      <c r="E578" s="1">
        <v>75</v>
      </c>
      <c r="F578" s="1">
        <v>120</v>
      </c>
      <c r="G578" s="1">
        <v>75</v>
      </c>
      <c r="H578" s="1">
        <v>127</v>
      </c>
    </row>
    <row r="579" spans="1:8" x14ac:dyDescent="0.25">
      <c r="A579" s="3" t="s">
        <v>348</v>
      </c>
      <c r="B579" s="1">
        <v>236</v>
      </c>
      <c r="C579" s="1">
        <v>1</v>
      </c>
      <c r="D579" s="1">
        <v>90</v>
      </c>
      <c r="E579" s="1">
        <v>45</v>
      </c>
      <c r="F579" s="1">
        <v>30</v>
      </c>
      <c r="G579" s="1">
        <v>30</v>
      </c>
      <c r="H579" s="1">
        <v>40</v>
      </c>
    </row>
    <row r="580" spans="1:8" x14ac:dyDescent="0.25">
      <c r="A580" s="3" t="s">
        <v>439</v>
      </c>
      <c r="B580" s="1">
        <v>420</v>
      </c>
      <c r="C580" s="1">
        <v>65</v>
      </c>
      <c r="D580" s="1">
        <v>95</v>
      </c>
      <c r="E580" s="1">
        <v>100</v>
      </c>
      <c r="F580" s="1">
        <v>60</v>
      </c>
      <c r="G580" s="1">
        <v>50</v>
      </c>
      <c r="H580" s="1">
        <v>50</v>
      </c>
    </row>
    <row r="581" spans="1:8" x14ac:dyDescent="0.25">
      <c r="A581" s="3" t="s">
        <v>127</v>
      </c>
      <c r="B581" s="1">
        <v>305</v>
      </c>
      <c r="C581" s="1">
        <v>30</v>
      </c>
      <c r="D581" s="1">
        <v>65</v>
      </c>
      <c r="E581" s="1">
        <v>100</v>
      </c>
      <c r="F581" s="1">
        <v>45</v>
      </c>
      <c r="G581" s="1">
        <v>25</v>
      </c>
      <c r="H581" s="1">
        <v>40</v>
      </c>
    </row>
    <row r="582" spans="1:8" x14ac:dyDescent="0.25">
      <c r="A582" s="3" t="s">
        <v>501</v>
      </c>
      <c r="B582" s="1">
        <v>325</v>
      </c>
      <c r="C582" s="1">
        <v>76</v>
      </c>
      <c r="D582" s="1">
        <v>48</v>
      </c>
      <c r="E582" s="1">
        <v>48</v>
      </c>
      <c r="F582" s="1">
        <v>57</v>
      </c>
      <c r="G582" s="1">
        <v>62</v>
      </c>
      <c r="H582" s="1">
        <v>34</v>
      </c>
    </row>
    <row r="583" spans="1:8" x14ac:dyDescent="0.25">
      <c r="A583" s="3" t="s">
        <v>709</v>
      </c>
      <c r="B583" s="1">
        <v>305</v>
      </c>
      <c r="C583" s="1">
        <v>50</v>
      </c>
      <c r="D583" s="1">
        <v>40</v>
      </c>
      <c r="E583" s="1">
        <v>85</v>
      </c>
      <c r="F583" s="1">
        <v>40</v>
      </c>
      <c r="G583" s="1">
        <v>65</v>
      </c>
      <c r="H583" s="1">
        <v>25</v>
      </c>
    </row>
    <row r="584" spans="1:8" x14ac:dyDescent="0.25">
      <c r="A584" s="3" t="s">
        <v>487</v>
      </c>
      <c r="B584" s="1">
        <v>350</v>
      </c>
      <c r="C584" s="1">
        <v>30</v>
      </c>
      <c r="D584" s="1">
        <v>42</v>
      </c>
      <c r="E584" s="1">
        <v>118</v>
      </c>
      <c r="F584" s="1">
        <v>42</v>
      </c>
      <c r="G584" s="1">
        <v>88</v>
      </c>
      <c r="H584" s="1">
        <v>30</v>
      </c>
    </row>
    <row r="585" spans="1:8" x14ac:dyDescent="0.25">
      <c r="A585" s="3" t="s">
        <v>330</v>
      </c>
      <c r="B585" s="1">
        <v>480</v>
      </c>
      <c r="C585" s="1">
        <v>90</v>
      </c>
      <c r="D585" s="1">
        <v>100</v>
      </c>
      <c r="E585" s="1">
        <v>60</v>
      </c>
      <c r="F585" s="1">
        <v>90</v>
      </c>
      <c r="G585" s="1">
        <v>60</v>
      </c>
      <c r="H585" s="1">
        <v>80</v>
      </c>
    </row>
    <row r="586" spans="1:8" x14ac:dyDescent="0.25">
      <c r="A586" s="3" t="s">
        <v>480</v>
      </c>
      <c r="B586" s="1">
        <v>263</v>
      </c>
      <c r="C586" s="1">
        <v>45</v>
      </c>
      <c r="D586" s="1">
        <v>65</v>
      </c>
      <c r="E586" s="1">
        <v>34</v>
      </c>
      <c r="F586" s="1">
        <v>40</v>
      </c>
      <c r="G586" s="1">
        <v>34</v>
      </c>
      <c r="H586" s="1">
        <v>45</v>
      </c>
    </row>
    <row r="587" spans="1:8" x14ac:dyDescent="0.25">
      <c r="A587" s="3" t="s">
        <v>341</v>
      </c>
      <c r="B587" s="1">
        <v>295</v>
      </c>
      <c r="C587" s="1">
        <v>60</v>
      </c>
      <c r="D587" s="1">
        <v>40</v>
      </c>
      <c r="E587" s="1">
        <v>60</v>
      </c>
      <c r="F587" s="1">
        <v>40</v>
      </c>
      <c r="G587" s="1">
        <v>60</v>
      </c>
      <c r="H587" s="1">
        <v>35</v>
      </c>
    </row>
    <row r="588" spans="1:8" x14ac:dyDescent="0.25">
      <c r="A588" s="3" t="s">
        <v>262</v>
      </c>
      <c r="B588" s="1">
        <v>505</v>
      </c>
      <c r="C588" s="1">
        <v>20</v>
      </c>
      <c r="D588" s="1">
        <v>10</v>
      </c>
      <c r="E588" s="1">
        <v>230</v>
      </c>
      <c r="F588" s="1">
        <v>10</v>
      </c>
      <c r="G588" s="1">
        <v>230</v>
      </c>
      <c r="H588" s="1">
        <v>5</v>
      </c>
    </row>
    <row r="589" spans="1:8" x14ac:dyDescent="0.25">
      <c r="A589" s="3" t="s">
        <v>417</v>
      </c>
      <c r="B589" s="1">
        <v>295</v>
      </c>
      <c r="C589" s="1">
        <v>44</v>
      </c>
      <c r="D589" s="1">
        <v>75</v>
      </c>
      <c r="E589" s="1">
        <v>35</v>
      </c>
      <c r="F589" s="1">
        <v>63</v>
      </c>
      <c r="G589" s="1">
        <v>33</v>
      </c>
      <c r="H589" s="1">
        <v>45</v>
      </c>
    </row>
    <row r="590" spans="1:8" x14ac:dyDescent="0.25">
      <c r="A590" s="3" t="s">
        <v>654</v>
      </c>
      <c r="B590" s="1">
        <v>490</v>
      </c>
      <c r="C590" s="1">
        <v>72</v>
      </c>
      <c r="D590" s="1">
        <v>58</v>
      </c>
      <c r="E590" s="1">
        <v>80</v>
      </c>
      <c r="F590" s="1">
        <v>103</v>
      </c>
      <c r="G590" s="1">
        <v>80</v>
      </c>
      <c r="H590" s="1">
        <v>97</v>
      </c>
    </row>
    <row r="591" spans="1:8" x14ac:dyDescent="0.25">
      <c r="A591" s="3" t="s">
        <v>321</v>
      </c>
      <c r="B591" s="1">
        <v>205</v>
      </c>
      <c r="C591" s="1">
        <v>50</v>
      </c>
      <c r="D591" s="1">
        <v>35</v>
      </c>
      <c r="E591" s="1">
        <v>55</v>
      </c>
      <c r="F591" s="1">
        <v>25</v>
      </c>
      <c r="G591" s="1">
        <v>25</v>
      </c>
      <c r="H591" s="1">
        <v>15</v>
      </c>
    </row>
    <row r="592" spans="1:8" x14ac:dyDescent="0.25">
      <c r="A592" s="3" t="s">
        <v>607</v>
      </c>
      <c r="B592" s="1">
        <v>498</v>
      </c>
      <c r="C592" s="1">
        <v>75</v>
      </c>
      <c r="D592" s="1">
        <v>98</v>
      </c>
      <c r="E592" s="1">
        <v>63</v>
      </c>
      <c r="F592" s="1">
        <v>98</v>
      </c>
      <c r="G592" s="1">
        <v>63</v>
      </c>
      <c r="H592" s="1">
        <v>101</v>
      </c>
    </row>
    <row r="593" spans="1:8" x14ac:dyDescent="0.25">
      <c r="A593" s="3" t="s">
        <v>603</v>
      </c>
      <c r="B593" s="1">
        <v>498</v>
      </c>
      <c r="C593" s="1">
        <v>75</v>
      </c>
      <c r="D593" s="1">
        <v>98</v>
      </c>
      <c r="E593" s="1">
        <v>63</v>
      </c>
      <c r="F593" s="1">
        <v>98</v>
      </c>
      <c r="G593" s="1">
        <v>63</v>
      </c>
      <c r="H593" s="1">
        <v>101</v>
      </c>
    </row>
    <row r="594" spans="1:8" x14ac:dyDescent="0.25">
      <c r="A594" s="3" t="s">
        <v>605</v>
      </c>
      <c r="B594" s="1">
        <v>498</v>
      </c>
      <c r="C594" s="1">
        <v>75</v>
      </c>
      <c r="D594" s="1">
        <v>98</v>
      </c>
      <c r="E594" s="1">
        <v>63</v>
      </c>
      <c r="F594" s="1">
        <v>98</v>
      </c>
      <c r="G594" s="1">
        <v>63</v>
      </c>
      <c r="H594" s="1">
        <v>101</v>
      </c>
    </row>
    <row r="595" spans="1:8" x14ac:dyDescent="0.25">
      <c r="A595" s="3" t="s">
        <v>277</v>
      </c>
      <c r="B595" s="1">
        <v>465</v>
      </c>
      <c r="C595" s="1">
        <v>65</v>
      </c>
      <c r="D595" s="1">
        <v>80</v>
      </c>
      <c r="E595" s="1">
        <v>140</v>
      </c>
      <c r="F595" s="1">
        <v>40</v>
      </c>
      <c r="G595" s="1">
        <v>70</v>
      </c>
      <c r="H595" s="1">
        <v>70</v>
      </c>
    </row>
    <row r="596" spans="1:8" x14ac:dyDescent="0.25">
      <c r="A596" s="3" t="s">
        <v>772</v>
      </c>
      <c r="B596" s="1">
        <v>350</v>
      </c>
      <c r="C596" s="1">
        <v>66</v>
      </c>
      <c r="D596" s="1">
        <v>65</v>
      </c>
      <c r="E596" s="1">
        <v>48</v>
      </c>
      <c r="F596" s="1">
        <v>62</v>
      </c>
      <c r="G596" s="1">
        <v>57</v>
      </c>
      <c r="H596" s="1">
        <v>52</v>
      </c>
    </row>
    <row r="597" spans="1:8" x14ac:dyDescent="0.25">
      <c r="A597" s="3" t="s">
        <v>235</v>
      </c>
      <c r="B597" s="1">
        <v>340</v>
      </c>
      <c r="C597" s="1">
        <v>55</v>
      </c>
      <c r="D597" s="1">
        <v>45</v>
      </c>
      <c r="E597" s="1">
        <v>50</v>
      </c>
      <c r="F597" s="1">
        <v>45</v>
      </c>
      <c r="G597" s="1">
        <v>65</v>
      </c>
      <c r="H597" s="1">
        <v>80</v>
      </c>
    </row>
    <row r="598" spans="1:8" x14ac:dyDescent="0.25">
      <c r="A598" s="3" t="s">
        <v>356</v>
      </c>
      <c r="B598" s="1">
        <v>260</v>
      </c>
      <c r="C598" s="1">
        <v>50</v>
      </c>
      <c r="D598" s="1">
        <v>45</v>
      </c>
      <c r="E598" s="1">
        <v>45</v>
      </c>
      <c r="F598" s="1">
        <v>35</v>
      </c>
      <c r="G598" s="1">
        <v>35</v>
      </c>
      <c r="H598" s="1">
        <v>50</v>
      </c>
    </row>
    <row r="599" spans="1:8" x14ac:dyDescent="0.25">
      <c r="A599" s="3" t="s">
        <v>533</v>
      </c>
      <c r="B599" s="1">
        <v>330</v>
      </c>
      <c r="C599" s="1">
        <v>40</v>
      </c>
      <c r="D599" s="1">
        <v>50</v>
      </c>
      <c r="E599" s="1">
        <v>90</v>
      </c>
      <c r="F599" s="1">
        <v>30</v>
      </c>
      <c r="G599" s="1">
        <v>55</v>
      </c>
      <c r="H599" s="1">
        <v>65</v>
      </c>
    </row>
    <row r="600" spans="1:8" x14ac:dyDescent="0.25">
      <c r="A600" s="3" t="s">
        <v>792</v>
      </c>
      <c r="B600" s="1">
        <v>320</v>
      </c>
      <c r="C600" s="1">
        <v>50</v>
      </c>
      <c r="D600" s="1">
        <v>60</v>
      </c>
      <c r="E600" s="1">
        <v>60</v>
      </c>
      <c r="F600" s="1">
        <v>60</v>
      </c>
      <c r="G600" s="1">
        <v>60</v>
      </c>
      <c r="H600" s="1">
        <v>30</v>
      </c>
    </row>
    <row r="601" spans="1:8" x14ac:dyDescent="0.25">
      <c r="A601" s="3" t="s">
        <v>515</v>
      </c>
      <c r="B601" s="1">
        <v>479</v>
      </c>
      <c r="C601" s="1">
        <v>103</v>
      </c>
      <c r="D601" s="1">
        <v>93</v>
      </c>
      <c r="E601" s="1">
        <v>67</v>
      </c>
      <c r="F601" s="1">
        <v>71</v>
      </c>
      <c r="G601" s="1">
        <v>61</v>
      </c>
      <c r="H601" s="1">
        <v>84</v>
      </c>
    </row>
    <row r="602" spans="1:8" x14ac:dyDescent="0.25">
      <c r="A602" s="3" t="s">
        <v>345</v>
      </c>
      <c r="B602" s="1">
        <v>670</v>
      </c>
      <c r="C602" s="1">
        <v>150</v>
      </c>
      <c r="D602" s="1">
        <v>160</v>
      </c>
      <c r="E602" s="1">
        <v>100</v>
      </c>
      <c r="F602" s="1">
        <v>95</v>
      </c>
      <c r="G602" s="1">
        <v>65</v>
      </c>
      <c r="H602" s="1">
        <v>100</v>
      </c>
    </row>
    <row r="603" spans="1:8" x14ac:dyDescent="0.25">
      <c r="A603" s="3" t="s">
        <v>343</v>
      </c>
      <c r="B603" s="1">
        <v>280</v>
      </c>
      <c r="C603" s="1">
        <v>60</v>
      </c>
      <c r="D603" s="1">
        <v>60</v>
      </c>
      <c r="E603" s="1">
        <v>60</v>
      </c>
      <c r="F603" s="1">
        <v>35</v>
      </c>
      <c r="G603" s="1">
        <v>35</v>
      </c>
      <c r="H603" s="1">
        <v>30</v>
      </c>
    </row>
    <row r="604" spans="1:8" x14ac:dyDescent="0.25">
      <c r="A604" s="3" t="s">
        <v>807</v>
      </c>
      <c r="B604" s="1">
        <v>452</v>
      </c>
      <c r="C604" s="1">
        <v>68</v>
      </c>
      <c r="D604" s="1">
        <v>75</v>
      </c>
      <c r="E604" s="1">
        <v>53</v>
      </c>
      <c r="F604" s="1">
        <v>83</v>
      </c>
      <c r="G604" s="1">
        <v>113</v>
      </c>
      <c r="H604" s="1">
        <v>60</v>
      </c>
    </row>
    <row r="605" spans="1:8" x14ac:dyDescent="0.25">
      <c r="A605" s="3" t="s">
        <v>114</v>
      </c>
      <c r="B605" s="1">
        <v>490</v>
      </c>
      <c r="C605" s="1">
        <v>95</v>
      </c>
      <c r="D605" s="1">
        <v>75</v>
      </c>
      <c r="E605" s="1">
        <v>110</v>
      </c>
      <c r="F605" s="1">
        <v>100</v>
      </c>
      <c r="G605" s="1">
        <v>80</v>
      </c>
      <c r="H605" s="1">
        <v>30</v>
      </c>
    </row>
    <row r="606" spans="1:8" x14ac:dyDescent="0.25">
      <c r="A606" s="3" t="s">
        <v>246</v>
      </c>
      <c r="B606" s="1">
        <v>490</v>
      </c>
      <c r="C606" s="1">
        <v>95</v>
      </c>
      <c r="D606" s="1">
        <v>75</v>
      </c>
      <c r="E606" s="1">
        <v>80</v>
      </c>
      <c r="F606" s="1">
        <v>100</v>
      </c>
      <c r="G606" s="1">
        <v>110</v>
      </c>
      <c r="H606" s="1">
        <v>30</v>
      </c>
    </row>
    <row r="607" spans="1:8" x14ac:dyDescent="0.25">
      <c r="A607" s="3" t="s">
        <v>113</v>
      </c>
      <c r="B607" s="1">
        <v>315</v>
      </c>
      <c r="C607" s="1">
        <v>90</v>
      </c>
      <c r="D607" s="1">
        <v>65</v>
      </c>
      <c r="E607" s="1">
        <v>65</v>
      </c>
      <c r="F607" s="1">
        <v>40</v>
      </c>
      <c r="G607" s="1">
        <v>40</v>
      </c>
      <c r="H607" s="1">
        <v>15</v>
      </c>
    </row>
    <row r="608" spans="1:8" x14ac:dyDescent="0.25">
      <c r="A608" s="3" t="s">
        <v>268</v>
      </c>
      <c r="B608" s="1">
        <v>250</v>
      </c>
      <c r="C608" s="1">
        <v>40</v>
      </c>
      <c r="D608" s="1">
        <v>40</v>
      </c>
      <c r="E608" s="1">
        <v>40</v>
      </c>
      <c r="F608" s="1">
        <v>70</v>
      </c>
      <c r="G608" s="1">
        <v>40</v>
      </c>
      <c r="H608" s="1">
        <v>20</v>
      </c>
    </row>
    <row r="609" spans="1:8" x14ac:dyDescent="0.25">
      <c r="A609" s="3" t="s">
        <v>787</v>
      </c>
      <c r="B609" s="1">
        <v>480</v>
      </c>
      <c r="C609" s="1">
        <v>82</v>
      </c>
      <c r="D609" s="1">
        <v>80</v>
      </c>
      <c r="E609" s="1">
        <v>86</v>
      </c>
      <c r="F609" s="1">
        <v>85</v>
      </c>
      <c r="G609" s="1">
        <v>75</v>
      </c>
      <c r="H609" s="1">
        <v>72</v>
      </c>
    </row>
    <row r="610" spans="1:8" x14ac:dyDescent="0.25">
      <c r="A610" s="3" t="s">
        <v>286</v>
      </c>
      <c r="B610" s="1">
        <v>250</v>
      </c>
      <c r="C610" s="1">
        <v>55</v>
      </c>
      <c r="D610" s="1">
        <v>20</v>
      </c>
      <c r="E610" s="1">
        <v>35</v>
      </c>
      <c r="F610" s="1">
        <v>20</v>
      </c>
      <c r="G610" s="1">
        <v>45</v>
      </c>
      <c r="H610" s="1">
        <v>75</v>
      </c>
    </row>
    <row r="611" spans="1:8" x14ac:dyDescent="0.25">
      <c r="A611" s="3" t="s">
        <v>289</v>
      </c>
      <c r="B611" s="1">
        <v>305</v>
      </c>
      <c r="C611" s="1">
        <v>45</v>
      </c>
      <c r="D611" s="1">
        <v>30</v>
      </c>
      <c r="E611" s="1">
        <v>15</v>
      </c>
      <c r="F611" s="1">
        <v>85</v>
      </c>
      <c r="G611" s="1">
        <v>65</v>
      </c>
      <c r="H611" s="1">
        <v>65</v>
      </c>
    </row>
    <row r="612" spans="1:8" x14ac:dyDescent="0.25">
      <c r="A612" s="3" t="s">
        <v>265</v>
      </c>
      <c r="B612" s="1">
        <v>430</v>
      </c>
      <c r="C612" s="1">
        <v>55</v>
      </c>
      <c r="D612" s="1">
        <v>95</v>
      </c>
      <c r="E612" s="1">
        <v>55</v>
      </c>
      <c r="F612" s="1">
        <v>35</v>
      </c>
      <c r="G612" s="1">
        <v>75</v>
      </c>
      <c r="H612" s="1">
        <v>115</v>
      </c>
    </row>
    <row r="613" spans="1:8" x14ac:dyDescent="0.25">
      <c r="A613" s="3" t="s">
        <v>586</v>
      </c>
      <c r="B613" s="1">
        <v>308</v>
      </c>
      <c r="C613" s="1">
        <v>45</v>
      </c>
      <c r="D613" s="1">
        <v>45</v>
      </c>
      <c r="E613" s="1">
        <v>55</v>
      </c>
      <c r="F613" s="1">
        <v>45</v>
      </c>
      <c r="G613" s="1">
        <v>55</v>
      </c>
      <c r="H613" s="1">
        <v>63</v>
      </c>
    </row>
    <row r="614" spans="1:8" x14ac:dyDescent="0.25">
      <c r="A614" s="3" t="s">
        <v>187</v>
      </c>
      <c r="B614" s="1">
        <v>540</v>
      </c>
      <c r="C614" s="1">
        <v>160</v>
      </c>
      <c r="D614" s="1">
        <v>110</v>
      </c>
      <c r="E614" s="1">
        <v>65</v>
      </c>
      <c r="F614" s="1">
        <v>65</v>
      </c>
      <c r="G614" s="1">
        <v>110</v>
      </c>
      <c r="H614" s="1">
        <v>30</v>
      </c>
    </row>
    <row r="615" spans="1:8" x14ac:dyDescent="0.25">
      <c r="A615" s="3" t="s">
        <v>427</v>
      </c>
      <c r="B615" s="1">
        <v>300</v>
      </c>
      <c r="C615" s="1">
        <v>50</v>
      </c>
      <c r="D615" s="1">
        <v>50</v>
      </c>
      <c r="E615" s="1">
        <v>50</v>
      </c>
      <c r="F615" s="1">
        <v>50</v>
      </c>
      <c r="G615" s="1">
        <v>50</v>
      </c>
      <c r="H615" s="1">
        <v>50</v>
      </c>
    </row>
    <row r="616" spans="1:8" x14ac:dyDescent="0.25">
      <c r="A616" s="3" t="s">
        <v>541</v>
      </c>
      <c r="B616" s="1">
        <v>334</v>
      </c>
      <c r="C616" s="1">
        <v>60</v>
      </c>
      <c r="D616" s="1">
        <v>62</v>
      </c>
      <c r="E616" s="1">
        <v>50</v>
      </c>
      <c r="F616" s="1">
        <v>62</v>
      </c>
      <c r="G616" s="1">
        <v>60</v>
      </c>
      <c r="H616" s="1">
        <v>40</v>
      </c>
    </row>
    <row r="617" spans="1:8" x14ac:dyDescent="0.25">
      <c r="A617" s="3" t="s">
        <v>257</v>
      </c>
      <c r="B617" s="1">
        <v>300</v>
      </c>
      <c r="C617" s="1">
        <v>60</v>
      </c>
      <c r="D617" s="1">
        <v>80</v>
      </c>
      <c r="E617" s="1">
        <v>50</v>
      </c>
      <c r="F617" s="1">
        <v>40</v>
      </c>
      <c r="G617" s="1">
        <v>40</v>
      </c>
      <c r="H617" s="1">
        <v>30</v>
      </c>
    </row>
    <row r="618" spans="1:8" x14ac:dyDescent="0.25">
      <c r="A618" s="3" t="s">
        <v>670</v>
      </c>
      <c r="B618" s="1">
        <v>290</v>
      </c>
      <c r="C618" s="1">
        <v>45</v>
      </c>
      <c r="D618" s="1">
        <v>30</v>
      </c>
      <c r="E618" s="1">
        <v>40</v>
      </c>
      <c r="F618" s="1">
        <v>105</v>
      </c>
      <c r="G618" s="1">
        <v>50</v>
      </c>
      <c r="H618" s="1">
        <v>20</v>
      </c>
    </row>
    <row r="619" spans="1:8" x14ac:dyDescent="0.25">
      <c r="A619" s="3" t="s">
        <v>402</v>
      </c>
      <c r="B619" s="1">
        <v>440</v>
      </c>
      <c r="C619" s="1">
        <v>70</v>
      </c>
      <c r="D619" s="1">
        <v>95</v>
      </c>
      <c r="E619" s="1">
        <v>85</v>
      </c>
      <c r="F619" s="1">
        <v>55</v>
      </c>
      <c r="G619" s="1">
        <v>65</v>
      </c>
      <c r="H619" s="1">
        <v>70</v>
      </c>
    </row>
    <row r="620" spans="1:8" x14ac:dyDescent="0.25">
      <c r="A620" s="3" t="s">
        <v>48</v>
      </c>
      <c r="B620" s="1">
        <v>262</v>
      </c>
      <c r="C620" s="1">
        <v>40</v>
      </c>
      <c r="D620" s="1">
        <v>60</v>
      </c>
      <c r="E620" s="1">
        <v>30</v>
      </c>
      <c r="F620" s="1">
        <v>31</v>
      </c>
      <c r="G620" s="1">
        <v>31</v>
      </c>
      <c r="H620" s="1">
        <v>70</v>
      </c>
    </row>
    <row r="621" spans="1:8" x14ac:dyDescent="0.25">
      <c r="A621" s="3" t="s">
        <v>765</v>
      </c>
      <c r="B621" s="1">
        <v>213</v>
      </c>
      <c r="C621" s="1">
        <v>45</v>
      </c>
      <c r="D621" s="1">
        <v>22</v>
      </c>
      <c r="E621" s="1">
        <v>60</v>
      </c>
      <c r="F621" s="1">
        <v>27</v>
      </c>
      <c r="G621" s="1">
        <v>30</v>
      </c>
      <c r="H621" s="1">
        <v>29</v>
      </c>
    </row>
    <row r="622" spans="1:8" x14ac:dyDescent="0.25">
      <c r="A622" s="3" t="s">
        <v>430</v>
      </c>
      <c r="B622" s="1">
        <v>290</v>
      </c>
      <c r="C622" s="1">
        <v>70</v>
      </c>
      <c r="D622" s="1">
        <v>40</v>
      </c>
      <c r="E622" s="1">
        <v>50</v>
      </c>
      <c r="F622" s="1">
        <v>55</v>
      </c>
      <c r="G622" s="1">
        <v>50</v>
      </c>
      <c r="H622" s="1">
        <v>25</v>
      </c>
    </row>
    <row r="623" spans="1:8" x14ac:dyDescent="0.25">
      <c r="A623" s="3" t="s">
        <v>213</v>
      </c>
      <c r="B623" s="1">
        <v>250</v>
      </c>
      <c r="C623" s="1">
        <v>40</v>
      </c>
      <c r="D623" s="1">
        <v>60</v>
      </c>
      <c r="E623" s="1">
        <v>40</v>
      </c>
      <c r="F623" s="1">
        <v>40</v>
      </c>
      <c r="G623" s="1">
        <v>40</v>
      </c>
      <c r="H623" s="1">
        <v>30</v>
      </c>
    </row>
    <row r="624" spans="1:8" x14ac:dyDescent="0.25">
      <c r="A624" s="3" t="s">
        <v>390</v>
      </c>
      <c r="B624" s="1">
        <v>360</v>
      </c>
      <c r="C624" s="1">
        <v>60</v>
      </c>
      <c r="D624" s="1">
        <v>60</v>
      </c>
      <c r="E624" s="1">
        <v>60</v>
      </c>
      <c r="F624" s="1">
        <v>60</v>
      </c>
      <c r="G624" s="1">
        <v>60</v>
      </c>
      <c r="H624" s="1">
        <v>60</v>
      </c>
    </row>
    <row r="625" spans="1:8" x14ac:dyDescent="0.25">
      <c r="A625" s="3" t="s">
        <v>522</v>
      </c>
      <c r="B625" s="1">
        <v>485</v>
      </c>
      <c r="C625" s="1">
        <v>50</v>
      </c>
      <c r="D625" s="1">
        <v>92</v>
      </c>
      <c r="E625" s="1">
        <v>108</v>
      </c>
      <c r="F625" s="1">
        <v>92</v>
      </c>
      <c r="G625" s="1">
        <v>108</v>
      </c>
      <c r="H625" s="1">
        <v>35</v>
      </c>
    </row>
    <row r="626" spans="1:8" x14ac:dyDescent="0.25">
      <c r="A626" s="3" t="s">
        <v>388</v>
      </c>
      <c r="B626" s="1">
        <v>330</v>
      </c>
      <c r="C626" s="1">
        <v>60</v>
      </c>
      <c r="D626" s="1">
        <v>25</v>
      </c>
      <c r="E626" s="1">
        <v>35</v>
      </c>
      <c r="F626" s="1">
        <v>70</v>
      </c>
      <c r="G626" s="1">
        <v>80</v>
      </c>
      <c r="H626" s="1">
        <v>60</v>
      </c>
    </row>
    <row r="627" spans="1:8" x14ac:dyDescent="0.25">
      <c r="A627" s="3" t="s">
        <v>784</v>
      </c>
      <c r="B627" s="1">
        <v>341</v>
      </c>
      <c r="C627" s="1">
        <v>78</v>
      </c>
      <c r="D627" s="1">
        <v>52</v>
      </c>
      <c r="E627" s="1">
        <v>60</v>
      </c>
      <c r="F627" s="1">
        <v>63</v>
      </c>
      <c r="G627" s="1">
        <v>65</v>
      </c>
      <c r="H627" s="1">
        <v>23</v>
      </c>
    </row>
    <row r="628" spans="1:8" x14ac:dyDescent="0.25">
      <c r="A628" s="3" t="s">
        <v>28</v>
      </c>
      <c r="B628" s="1">
        <v>314</v>
      </c>
      <c r="C628" s="1">
        <v>44</v>
      </c>
      <c r="D628" s="1">
        <v>48</v>
      </c>
      <c r="E628" s="1">
        <v>65</v>
      </c>
      <c r="F628" s="1">
        <v>50</v>
      </c>
      <c r="G628" s="1">
        <v>64</v>
      </c>
      <c r="H628" s="1">
        <v>43</v>
      </c>
    </row>
    <row r="629" spans="1:8" x14ac:dyDescent="0.25">
      <c r="A629" s="3" t="s">
        <v>285</v>
      </c>
      <c r="B629" s="1">
        <v>465</v>
      </c>
      <c r="C629" s="1">
        <v>73</v>
      </c>
      <c r="D629" s="1">
        <v>95</v>
      </c>
      <c r="E629" s="1">
        <v>62</v>
      </c>
      <c r="F629" s="1">
        <v>85</v>
      </c>
      <c r="G629" s="1">
        <v>65</v>
      </c>
      <c r="H629" s="1">
        <v>85</v>
      </c>
    </row>
    <row r="630" spans="1:8" x14ac:dyDescent="0.25">
      <c r="A630" s="3" t="s">
        <v>475</v>
      </c>
      <c r="B630" s="1">
        <v>485</v>
      </c>
      <c r="C630" s="1">
        <v>85</v>
      </c>
      <c r="D630" s="1">
        <v>120</v>
      </c>
      <c r="E630" s="1">
        <v>70</v>
      </c>
      <c r="F630" s="1">
        <v>50</v>
      </c>
      <c r="G630" s="1">
        <v>60</v>
      </c>
      <c r="H630" s="1">
        <v>100</v>
      </c>
    </row>
    <row r="631" spans="1:8" x14ac:dyDescent="0.25">
      <c r="A631" s="3" t="s">
        <v>474</v>
      </c>
      <c r="B631" s="1">
        <v>340</v>
      </c>
      <c r="C631" s="1">
        <v>55</v>
      </c>
      <c r="D631" s="1">
        <v>75</v>
      </c>
      <c r="E631" s="1">
        <v>50</v>
      </c>
      <c r="F631" s="1">
        <v>40</v>
      </c>
      <c r="G631" s="1">
        <v>40</v>
      </c>
      <c r="H631" s="1">
        <v>80</v>
      </c>
    </row>
    <row r="632" spans="1:8" x14ac:dyDescent="0.25">
      <c r="A632" s="3" t="s">
        <v>473</v>
      </c>
      <c r="B632" s="1">
        <v>245</v>
      </c>
      <c r="C632" s="1">
        <v>40</v>
      </c>
      <c r="D632" s="1">
        <v>55</v>
      </c>
      <c r="E632" s="1">
        <v>30</v>
      </c>
      <c r="F632" s="1">
        <v>30</v>
      </c>
      <c r="G632" s="1">
        <v>30</v>
      </c>
      <c r="H632" s="1">
        <v>60</v>
      </c>
    </row>
    <row r="633" spans="1:8" x14ac:dyDescent="0.25">
      <c r="A633" s="3" t="s">
        <v>161</v>
      </c>
      <c r="B633" s="1">
        <v>520</v>
      </c>
      <c r="C633" s="1">
        <v>60</v>
      </c>
      <c r="D633" s="1">
        <v>75</v>
      </c>
      <c r="E633" s="1">
        <v>85</v>
      </c>
      <c r="F633" s="1">
        <v>100</v>
      </c>
      <c r="G633" s="1">
        <v>85</v>
      </c>
      <c r="H633" s="1">
        <v>115</v>
      </c>
    </row>
    <row r="634" spans="1:8" x14ac:dyDescent="0.25">
      <c r="A634" s="3" t="s">
        <v>160</v>
      </c>
      <c r="B634" s="1">
        <v>340</v>
      </c>
      <c r="C634" s="1">
        <v>30</v>
      </c>
      <c r="D634" s="1">
        <v>45</v>
      </c>
      <c r="E634" s="1">
        <v>55</v>
      </c>
      <c r="F634" s="1">
        <v>70</v>
      </c>
      <c r="G634" s="1">
        <v>55</v>
      </c>
      <c r="H634" s="1">
        <v>85</v>
      </c>
    </row>
    <row r="635" spans="1:8" x14ac:dyDescent="0.25">
      <c r="A635" s="3" t="s">
        <v>256</v>
      </c>
      <c r="B635" s="1">
        <v>510</v>
      </c>
      <c r="C635" s="1">
        <v>75</v>
      </c>
      <c r="D635" s="1">
        <v>85</v>
      </c>
      <c r="E635" s="1">
        <v>200</v>
      </c>
      <c r="F635" s="1">
        <v>55</v>
      </c>
      <c r="G635" s="1">
        <v>65</v>
      </c>
      <c r="H635" s="1">
        <v>30</v>
      </c>
    </row>
    <row r="636" spans="1:8" x14ac:dyDescent="0.25">
      <c r="A636" s="3" t="s">
        <v>599</v>
      </c>
      <c r="B636" s="1">
        <v>500</v>
      </c>
      <c r="C636" s="1">
        <v>85</v>
      </c>
      <c r="D636" s="1">
        <v>110</v>
      </c>
      <c r="E636" s="1">
        <v>90</v>
      </c>
      <c r="F636" s="1">
        <v>45</v>
      </c>
      <c r="G636" s="1">
        <v>90</v>
      </c>
      <c r="H636" s="1">
        <v>80</v>
      </c>
    </row>
    <row r="637" spans="1:8" x14ac:dyDescent="0.25">
      <c r="A637" s="3" t="s">
        <v>711</v>
      </c>
      <c r="B637" s="1">
        <v>471</v>
      </c>
      <c r="C637" s="1">
        <v>109</v>
      </c>
      <c r="D637" s="1">
        <v>66</v>
      </c>
      <c r="E637" s="1">
        <v>84</v>
      </c>
      <c r="F637" s="1">
        <v>81</v>
      </c>
      <c r="G637" s="1">
        <v>99</v>
      </c>
      <c r="H637" s="1">
        <v>32</v>
      </c>
    </row>
    <row r="638" spans="1:8" x14ac:dyDescent="0.25">
      <c r="A638" s="3" t="s">
        <v>514</v>
      </c>
      <c r="B638" s="1">
        <v>329</v>
      </c>
      <c r="C638" s="1">
        <v>63</v>
      </c>
      <c r="D638" s="1">
        <v>63</v>
      </c>
      <c r="E638" s="1">
        <v>47</v>
      </c>
      <c r="F638" s="1">
        <v>41</v>
      </c>
      <c r="G638" s="1">
        <v>41</v>
      </c>
      <c r="H638" s="1">
        <v>74</v>
      </c>
    </row>
    <row r="639" spans="1:8" x14ac:dyDescent="0.25">
      <c r="A639" s="3" t="s">
        <v>232</v>
      </c>
      <c r="B639" s="1">
        <v>410</v>
      </c>
      <c r="C639" s="1">
        <v>70</v>
      </c>
      <c r="D639" s="1">
        <v>100</v>
      </c>
      <c r="E639" s="1">
        <v>115</v>
      </c>
      <c r="F639" s="1">
        <v>30</v>
      </c>
      <c r="G639" s="1">
        <v>65</v>
      </c>
      <c r="H639" s="1">
        <v>30</v>
      </c>
    </row>
    <row r="640" spans="1:8" x14ac:dyDescent="0.25">
      <c r="A640" s="3" t="s">
        <v>296</v>
      </c>
      <c r="B640" s="1">
        <v>580</v>
      </c>
      <c r="C640" s="1">
        <v>100</v>
      </c>
      <c r="D640" s="1">
        <v>75</v>
      </c>
      <c r="E640" s="1">
        <v>115</v>
      </c>
      <c r="F640" s="1">
        <v>90</v>
      </c>
      <c r="G640" s="1">
        <v>115</v>
      </c>
      <c r="H640" s="1">
        <v>85</v>
      </c>
    </row>
    <row r="641" spans="1:8" x14ac:dyDescent="0.25">
      <c r="A641" s="3" t="s">
        <v>239</v>
      </c>
      <c r="B641" s="1">
        <v>425</v>
      </c>
      <c r="C641" s="1">
        <v>75</v>
      </c>
      <c r="D641" s="1">
        <v>75</v>
      </c>
      <c r="E641" s="1">
        <v>55</v>
      </c>
      <c r="F641" s="1">
        <v>105</v>
      </c>
      <c r="G641" s="1">
        <v>85</v>
      </c>
      <c r="H641" s="1">
        <v>30</v>
      </c>
    </row>
    <row r="642" spans="1:8" x14ac:dyDescent="0.25">
      <c r="A642" s="3" t="s">
        <v>238</v>
      </c>
      <c r="B642" s="1">
        <v>180</v>
      </c>
      <c r="C642" s="1">
        <v>30</v>
      </c>
      <c r="D642" s="1">
        <v>30</v>
      </c>
      <c r="E642" s="1">
        <v>30</v>
      </c>
      <c r="F642" s="1">
        <v>30</v>
      </c>
      <c r="G642" s="1">
        <v>30</v>
      </c>
      <c r="H642" s="1">
        <v>30</v>
      </c>
    </row>
    <row r="643" spans="1:8" x14ac:dyDescent="0.25">
      <c r="A643" s="3" t="s">
        <v>339</v>
      </c>
      <c r="B643" s="1">
        <v>269</v>
      </c>
      <c r="C643" s="1">
        <v>40</v>
      </c>
      <c r="D643" s="1">
        <v>30</v>
      </c>
      <c r="E643" s="1">
        <v>32</v>
      </c>
      <c r="F643" s="1">
        <v>50</v>
      </c>
      <c r="G643" s="1">
        <v>52</v>
      </c>
      <c r="H643" s="1">
        <v>65</v>
      </c>
    </row>
    <row r="644" spans="1:8" x14ac:dyDescent="0.25">
      <c r="A644" s="3" t="s">
        <v>396</v>
      </c>
      <c r="B644" s="1">
        <v>310</v>
      </c>
      <c r="C644" s="1">
        <v>45</v>
      </c>
      <c r="D644" s="1">
        <v>40</v>
      </c>
      <c r="E644" s="1">
        <v>60</v>
      </c>
      <c r="F644" s="1">
        <v>40</v>
      </c>
      <c r="G644" s="1">
        <v>75</v>
      </c>
      <c r="H644" s="1">
        <v>50</v>
      </c>
    </row>
    <row r="645" spans="1:8" x14ac:dyDescent="0.25">
      <c r="A645" s="3" t="s">
        <v>633</v>
      </c>
      <c r="B645" s="1">
        <v>380</v>
      </c>
      <c r="C645" s="1">
        <v>55</v>
      </c>
      <c r="D645" s="1">
        <v>63</v>
      </c>
      <c r="E645" s="1">
        <v>90</v>
      </c>
      <c r="F645" s="1">
        <v>50</v>
      </c>
      <c r="G645" s="1">
        <v>80</v>
      </c>
      <c r="H645" s="1">
        <v>42</v>
      </c>
    </row>
    <row r="646" spans="1:8" x14ac:dyDescent="0.25">
      <c r="A646" s="3" t="s">
        <v>378</v>
      </c>
      <c r="B646" s="1">
        <v>467</v>
      </c>
      <c r="C646" s="1">
        <v>100</v>
      </c>
      <c r="D646" s="1">
        <v>73</v>
      </c>
      <c r="E646" s="1">
        <v>83</v>
      </c>
      <c r="F646" s="1">
        <v>73</v>
      </c>
      <c r="G646" s="1">
        <v>83</v>
      </c>
      <c r="H646" s="1">
        <v>55</v>
      </c>
    </row>
    <row r="647" spans="1:8" x14ac:dyDescent="0.25">
      <c r="A647" s="3" t="s">
        <v>314</v>
      </c>
      <c r="B647" s="1">
        <v>535</v>
      </c>
      <c r="C647" s="1">
        <v>100</v>
      </c>
      <c r="D647" s="1">
        <v>110</v>
      </c>
      <c r="E647" s="1">
        <v>90</v>
      </c>
      <c r="F647" s="1">
        <v>85</v>
      </c>
      <c r="G647" s="1">
        <v>90</v>
      </c>
      <c r="H647" s="1">
        <v>60</v>
      </c>
    </row>
    <row r="648" spans="1:8" x14ac:dyDescent="0.25">
      <c r="A648" s="3" t="s">
        <v>674</v>
      </c>
      <c r="B648" s="1">
        <v>473</v>
      </c>
      <c r="C648" s="1">
        <v>75</v>
      </c>
      <c r="D648" s="1">
        <v>87</v>
      </c>
      <c r="E648" s="1">
        <v>63</v>
      </c>
      <c r="F648" s="1">
        <v>87</v>
      </c>
      <c r="G648" s="1">
        <v>63</v>
      </c>
      <c r="H648" s="1">
        <v>98</v>
      </c>
    </row>
    <row r="649" spans="1:8" x14ac:dyDescent="0.25">
      <c r="A649" s="3" t="s">
        <v>332</v>
      </c>
      <c r="B649" s="1">
        <v>430</v>
      </c>
      <c r="C649" s="1">
        <v>60</v>
      </c>
      <c r="D649" s="1">
        <v>85</v>
      </c>
      <c r="E649" s="1">
        <v>60</v>
      </c>
      <c r="F649" s="1">
        <v>50</v>
      </c>
      <c r="G649" s="1">
        <v>50</v>
      </c>
      <c r="H649" s="1">
        <v>125</v>
      </c>
    </row>
    <row r="650" spans="1:8" x14ac:dyDescent="0.25">
      <c r="A650" s="3" t="s">
        <v>270</v>
      </c>
      <c r="B650" s="1">
        <v>250</v>
      </c>
      <c r="C650" s="1">
        <v>50</v>
      </c>
      <c r="D650" s="1">
        <v>50</v>
      </c>
      <c r="E650" s="1">
        <v>40</v>
      </c>
      <c r="F650" s="1">
        <v>30</v>
      </c>
      <c r="G650" s="1">
        <v>30</v>
      </c>
      <c r="H650" s="1">
        <v>50</v>
      </c>
    </row>
    <row r="651" spans="1:8" x14ac:dyDescent="0.25">
      <c r="A651" s="3" t="s">
        <v>786</v>
      </c>
      <c r="B651" s="1">
        <v>341</v>
      </c>
      <c r="C651" s="1">
        <v>62</v>
      </c>
      <c r="D651" s="1">
        <v>48</v>
      </c>
      <c r="E651" s="1">
        <v>66</v>
      </c>
      <c r="F651" s="1">
        <v>59</v>
      </c>
      <c r="G651" s="1">
        <v>57</v>
      </c>
      <c r="H651" s="1">
        <v>49</v>
      </c>
    </row>
    <row r="652" spans="1:8" x14ac:dyDescent="0.25">
      <c r="A652" s="3" t="s">
        <v>619</v>
      </c>
      <c r="B652" s="1">
        <v>425</v>
      </c>
      <c r="C652" s="1">
        <v>67</v>
      </c>
      <c r="D652" s="1">
        <v>57</v>
      </c>
      <c r="E652" s="1">
        <v>55</v>
      </c>
      <c r="F652" s="1">
        <v>77</v>
      </c>
      <c r="G652" s="1">
        <v>55</v>
      </c>
      <c r="H652" s="1">
        <v>114</v>
      </c>
    </row>
    <row r="653" spans="1:8" x14ac:dyDescent="0.25">
      <c r="A653" s="3" t="s">
        <v>802</v>
      </c>
      <c r="B653" s="1">
        <v>525</v>
      </c>
      <c r="C653" s="1">
        <v>95</v>
      </c>
      <c r="D653" s="1">
        <v>65</v>
      </c>
      <c r="E653" s="1">
        <v>65</v>
      </c>
      <c r="F653" s="1">
        <v>110</v>
      </c>
      <c r="G653" s="1">
        <v>130</v>
      </c>
      <c r="H653" s="1">
        <v>60</v>
      </c>
    </row>
    <row r="654" spans="1:8" x14ac:dyDescent="0.25">
      <c r="A654" s="3" t="s">
        <v>331</v>
      </c>
      <c r="B654" s="1">
        <v>270</v>
      </c>
      <c r="C654" s="1">
        <v>40</v>
      </c>
      <c r="D654" s="1">
        <v>55</v>
      </c>
      <c r="E654" s="1">
        <v>30</v>
      </c>
      <c r="F654" s="1">
        <v>30</v>
      </c>
      <c r="G654" s="1">
        <v>30</v>
      </c>
      <c r="H654" s="1">
        <v>85</v>
      </c>
    </row>
    <row r="655" spans="1:8" x14ac:dyDescent="0.25">
      <c r="A655" s="3" t="s">
        <v>763</v>
      </c>
      <c r="B655" s="1">
        <v>499</v>
      </c>
      <c r="C655" s="1">
        <v>78</v>
      </c>
      <c r="D655" s="1">
        <v>81</v>
      </c>
      <c r="E655" s="1">
        <v>71</v>
      </c>
      <c r="F655" s="1">
        <v>74</v>
      </c>
      <c r="G655" s="1">
        <v>69</v>
      </c>
      <c r="H655" s="1">
        <v>126</v>
      </c>
    </row>
    <row r="656" spans="1:8" x14ac:dyDescent="0.25">
      <c r="A656" s="3" t="s">
        <v>153</v>
      </c>
      <c r="B656" s="1">
        <v>435</v>
      </c>
      <c r="C656" s="1">
        <v>65</v>
      </c>
      <c r="D656" s="1">
        <v>55</v>
      </c>
      <c r="E656" s="1">
        <v>115</v>
      </c>
      <c r="F656" s="1">
        <v>100</v>
      </c>
      <c r="G656" s="1">
        <v>40</v>
      </c>
      <c r="H656" s="1">
        <v>60</v>
      </c>
    </row>
    <row r="657" spans="1:8" x14ac:dyDescent="0.25">
      <c r="A657" s="3" t="s">
        <v>548</v>
      </c>
      <c r="B657" s="1">
        <v>535</v>
      </c>
      <c r="C657" s="1">
        <v>100</v>
      </c>
      <c r="D657" s="1">
        <v>100</v>
      </c>
      <c r="E657" s="1">
        <v>125</v>
      </c>
      <c r="F657" s="1">
        <v>110</v>
      </c>
      <c r="G657" s="1">
        <v>50</v>
      </c>
      <c r="H657" s="1">
        <v>50</v>
      </c>
    </row>
    <row r="658" spans="1:8" x14ac:dyDescent="0.25">
      <c r="A658" s="3" t="s">
        <v>169</v>
      </c>
      <c r="B658" s="1">
        <v>490</v>
      </c>
      <c r="C658" s="1">
        <v>75</v>
      </c>
      <c r="D658" s="1">
        <v>100</v>
      </c>
      <c r="E658" s="1">
        <v>95</v>
      </c>
      <c r="F658" s="1">
        <v>40</v>
      </c>
      <c r="G658" s="1">
        <v>70</v>
      </c>
      <c r="H658" s="1">
        <v>110</v>
      </c>
    </row>
    <row r="659" spans="1:8" x14ac:dyDescent="0.25">
      <c r="A659" s="3" t="s">
        <v>266</v>
      </c>
      <c r="B659" s="1">
        <v>330</v>
      </c>
      <c r="C659" s="1">
        <v>60</v>
      </c>
      <c r="D659" s="1">
        <v>80</v>
      </c>
      <c r="E659" s="1">
        <v>50</v>
      </c>
      <c r="F659" s="1">
        <v>50</v>
      </c>
      <c r="G659" s="1">
        <v>50</v>
      </c>
      <c r="H659" s="1">
        <v>40</v>
      </c>
    </row>
    <row r="660" spans="1:8" x14ac:dyDescent="0.25">
      <c r="A660" s="3" t="s">
        <v>105</v>
      </c>
      <c r="B660" s="1">
        <v>335</v>
      </c>
      <c r="C660" s="1">
        <v>40</v>
      </c>
      <c r="D660" s="1">
        <v>40</v>
      </c>
      <c r="E660" s="1">
        <v>35</v>
      </c>
      <c r="F660" s="1">
        <v>50</v>
      </c>
      <c r="G660" s="1">
        <v>100</v>
      </c>
      <c r="H660" s="1">
        <v>70</v>
      </c>
    </row>
    <row r="661" spans="1:8" x14ac:dyDescent="0.25">
      <c r="A661" s="3" t="s">
        <v>106</v>
      </c>
      <c r="B661" s="1">
        <v>515</v>
      </c>
      <c r="C661" s="1">
        <v>80</v>
      </c>
      <c r="D661" s="1">
        <v>70</v>
      </c>
      <c r="E661" s="1">
        <v>65</v>
      </c>
      <c r="F661" s="1">
        <v>80</v>
      </c>
      <c r="G661" s="1">
        <v>120</v>
      </c>
      <c r="H661" s="1">
        <v>100</v>
      </c>
    </row>
    <row r="662" spans="1:8" x14ac:dyDescent="0.25">
      <c r="A662" s="3" t="s">
        <v>589</v>
      </c>
      <c r="B662" s="1">
        <v>308</v>
      </c>
      <c r="C662" s="1">
        <v>65</v>
      </c>
      <c r="D662" s="1">
        <v>63</v>
      </c>
      <c r="E662" s="1">
        <v>45</v>
      </c>
      <c r="F662" s="1">
        <v>45</v>
      </c>
      <c r="G662" s="1">
        <v>45</v>
      </c>
      <c r="H662" s="1">
        <v>45</v>
      </c>
    </row>
    <row r="663" spans="1:8" x14ac:dyDescent="0.25">
      <c r="A663" s="3" t="s">
        <v>732</v>
      </c>
      <c r="B663" s="1">
        <v>580</v>
      </c>
      <c r="C663" s="1">
        <v>91</v>
      </c>
      <c r="D663" s="1">
        <v>129</v>
      </c>
      <c r="E663" s="1">
        <v>90</v>
      </c>
      <c r="F663" s="1">
        <v>72</v>
      </c>
      <c r="G663" s="1">
        <v>90</v>
      </c>
      <c r="H663" s="1">
        <v>108</v>
      </c>
    </row>
    <row r="664" spans="1:8" x14ac:dyDescent="0.25">
      <c r="A664" s="3" t="s">
        <v>630</v>
      </c>
      <c r="B664" s="1">
        <v>465</v>
      </c>
      <c r="C664" s="1">
        <v>120</v>
      </c>
      <c r="D664" s="1">
        <v>100</v>
      </c>
      <c r="E664" s="1">
        <v>85</v>
      </c>
      <c r="F664" s="1">
        <v>30</v>
      </c>
      <c r="G664" s="1">
        <v>85</v>
      </c>
      <c r="H664" s="1">
        <v>45</v>
      </c>
    </row>
    <row r="665" spans="1:8" x14ac:dyDescent="0.25">
      <c r="A665" s="3" t="s">
        <v>736</v>
      </c>
      <c r="B665" s="1">
        <v>580</v>
      </c>
      <c r="C665" s="1">
        <v>79</v>
      </c>
      <c r="D665" s="1">
        <v>115</v>
      </c>
      <c r="E665" s="1">
        <v>70</v>
      </c>
      <c r="F665" s="1">
        <v>125</v>
      </c>
      <c r="G665" s="1">
        <v>80</v>
      </c>
      <c r="H665" s="1">
        <v>111</v>
      </c>
    </row>
    <row r="666" spans="1:8" x14ac:dyDescent="0.25">
      <c r="A666" s="3" t="s">
        <v>737</v>
      </c>
      <c r="B666" s="1">
        <v>580</v>
      </c>
      <c r="C666" s="1">
        <v>79</v>
      </c>
      <c r="D666" s="1">
        <v>105</v>
      </c>
      <c r="E666" s="1">
        <v>70</v>
      </c>
      <c r="F666" s="1">
        <v>145</v>
      </c>
      <c r="G666" s="1">
        <v>80</v>
      </c>
      <c r="H666" s="1">
        <v>101</v>
      </c>
    </row>
    <row r="667" spans="1:8" x14ac:dyDescent="0.25">
      <c r="A667" s="3" t="s">
        <v>624</v>
      </c>
      <c r="B667" s="1">
        <v>305</v>
      </c>
      <c r="C667" s="1">
        <v>75</v>
      </c>
      <c r="D667" s="1">
        <v>80</v>
      </c>
      <c r="E667" s="1">
        <v>55</v>
      </c>
      <c r="F667" s="1">
        <v>25</v>
      </c>
      <c r="G667" s="1">
        <v>35</v>
      </c>
      <c r="H667" s="1">
        <v>35</v>
      </c>
    </row>
    <row r="668" spans="1:8" x14ac:dyDescent="0.25">
      <c r="A668" s="3" t="s">
        <v>657</v>
      </c>
      <c r="B668" s="1">
        <v>355</v>
      </c>
      <c r="C668" s="1">
        <v>54</v>
      </c>
      <c r="D668" s="1">
        <v>78</v>
      </c>
      <c r="E668" s="1">
        <v>103</v>
      </c>
      <c r="F668" s="1">
        <v>53</v>
      </c>
      <c r="G668" s="1">
        <v>45</v>
      </c>
      <c r="H668" s="1">
        <v>22</v>
      </c>
    </row>
    <row r="669" spans="1:8" x14ac:dyDescent="0.25">
      <c r="A669" s="3" t="s">
        <v>551</v>
      </c>
      <c r="B669" s="1">
        <v>545</v>
      </c>
      <c r="C669" s="1">
        <v>85</v>
      </c>
      <c r="D669" s="1">
        <v>50</v>
      </c>
      <c r="E669" s="1">
        <v>95</v>
      </c>
      <c r="F669" s="1">
        <v>120</v>
      </c>
      <c r="G669" s="1">
        <v>115</v>
      </c>
      <c r="H669" s="1">
        <v>80</v>
      </c>
    </row>
    <row r="670" spans="1:8" x14ac:dyDescent="0.25">
      <c r="A670" s="3" t="s">
        <v>221</v>
      </c>
      <c r="B670" s="1">
        <v>245</v>
      </c>
      <c r="C670" s="1">
        <v>35</v>
      </c>
      <c r="D670" s="1">
        <v>20</v>
      </c>
      <c r="E670" s="1">
        <v>65</v>
      </c>
      <c r="F670" s="1">
        <v>40</v>
      </c>
      <c r="G670" s="1">
        <v>65</v>
      </c>
      <c r="H670" s="1">
        <v>20</v>
      </c>
    </row>
    <row r="671" spans="1:8" x14ac:dyDescent="0.25">
      <c r="A671" s="3" t="s">
        <v>222</v>
      </c>
      <c r="B671" s="1">
        <v>405</v>
      </c>
      <c r="C671" s="1">
        <v>55</v>
      </c>
      <c r="D671" s="1">
        <v>40</v>
      </c>
      <c r="E671" s="1">
        <v>85</v>
      </c>
      <c r="F671" s="1">
        <v>80</v>
      </c>
      <c r="G671" s="1">
        <v>105</v>
      </c>
      <c r="H671" s="1">
        <v>40</v>
      </c>
    </row>
    <row r="672" spans="1:8" x14ac:dyDescent="0.25">
      <c r="A672" s="3" t="s">
        <v>308</v>
      </c>
      <c r="B672" s="1">
        <v>310</v>
      </c>
      <c r="C672" s="1">
        <v>45</v>
      </c>
      <c r="D672" s="1">
        <v>60</v>
      </c>
      <c r="E672" s="1">
        <v>40</v>
      </c>
      <c r="F672" s="1">
        <v>70</v>
      </c>
      <c r="G672" s="1">
        <v>50</v>
      </c>
      <c r="H672" s="1">
        <v>45</v>
      </c>
    </row>
    <row r="673" spans="1:8" x14ac:dyDescent="0.25">
      <c r="A673" s="3" t="s">
        <v>387</v>
      </c>
      <c r="B673" s="1">
        <v>470</v>
      </c>
      <c r="C673" s="1">
        <v>70</v>
      </c>
      <c r="D673" s="1">
        <v>85</v>
      </c>
      <c r="E673" s="1">
        <v>140</v>
      </c>
      <c r="F673" s="1">
        <v>85</v>
      </c>
      <c r="G673" s="1">
        <v>70</v>
      </c>
      <c r="H673" s="1">
        <v>20</v>
      </c>
    </row>
    <row r="674" spans="1:8" x14ac:dyDescent="0.25">
      <c r="A674" s="3" t="s">
        <v>735</v>
      </c>
      <c r="B674" s="1">
        <v>580</v>
      </c>
      <c r="C674" s="1">
        <v>79</v>
      </c>
      <c r="D674" s="1">
        <v>115</v>
      </c>
      <c r="E674" s="1">
        <v>70</v>
      </c>
      <c r="F674" s="1">
        <v>125</v>
      </c>
      <c r="G674" s="1">
        <v>80</v>
      </c>
      <c r="H674" s="1">
        <v>111</v>
      </c>
    </row>
    <row r="675" spans="1:8" x14ac:dyDescent="0.25">
      <c r="A675" s="3" t="s">
        <v>734</v>
      </c>
      <c r="B675" s="1">
        <v>580</v>
      </c>
      <c r="C675" s="1">
        <v>79</v>
      </c>
      <c r="D675" s="1">
        <v>100</v>
      </c>
      <c r="E675" s="1">
        <v>80</v>
      </c>
      <c r="F675" s="1">
        <v>110</v>
      </c>
      <c r="G675" s="1">
        <v>90</v>
      </c>
      <c r="H675" s="1">
        <v>121</v>
      </c>
    </row>
    <row r="676" spans="1:8" x14ac:dyDescent="0.25">
      <c r="A676" s="3" t="s">
        <v>466</v>
      </c>
      <c r="B676" s="1">
        <v>525</v>
      </c>
      <c r="C676" s="1">
        <v>95</v>
      </c>
      <c r="D676" s="1">
        <v>109</v>
      </c>
      <c r="E676" s="1">
        <v>105</v>
      </c>
      <c r="F676" s="1">
        <v>75</v>
      </c>
      <c r="G676" s="1">
        <v>85</v>
      </c>
      <c r="H676" s="1">
        <v>56</v>
      </c>
    </row>
    <row r="677" spans="1:8" x14ac:dyDescent="0.25">
      <c r="A677" s="3" t="s">
        <v>204</v>
      </c>
      <c r="B677" s="1">
        <v>314</v>
      </c>
      <c r="C677" s="1">
        <v>50</v>
      </c>
      <c r="D677" s="1">
        <v>65</v>
      </c>
      <c r="E677" s="1">
        <v>64</v>
      </c>
      <c r="F677" s="1">
        <v>44</v>
      </c>
      <c r="G677" s="1">
        <v>48</v>
      </c>
      <c r="H677" s="1">
        <v>43</v>
      </c>
    </row>
    <row r="678" spans="1:8" x14ac:dyDescent="0.25">
      <c r="A678" s="3" t="s">
        <v>536</v>
      </c>
      <c r="B678" s="1">
        <v>490</v>
      </c>
      <c r="C678" s="1">
        <v>83</v>
      </c>
      <c r="D678" s="1">
        <v>106</v>
      </c>
      <c r="E678" s="1">
        <v>65</v>
      </c>
      <c r="F678" s="1">
        <v>86</v>
      </c>
      <c r="G678" s="1">
        <v>65</v>
      </c>
      <c r="H678" s="1">
        <v>85</v>
      </c>
    </row>
    <row r="679" spans="1:8" x14ac:dyDescent="0.25">
      <c r="A679" s="3" t="s">
        <v>611</v>
      </c>
      <c r="B679" s="1">
        <v>358</v>
      </c>
      <c r="C679" s="1">
        <v>62</v>
      </c>
      <c r="D679" s="1">
        <v>77</v>
      </c>
      <c r="E679" s="1">
        <v>62</v>
      </c>
      <c r="F679" s="1">
        <v>50</v>
      </c>
      <c r="G679" s="1">
        <v>42</v>
      </c>
      <c r="H679" s="1">
        <v>65</v>
      </c>
    </row>
    <row r="680" spans="1:8" x14ac:dyDescent="0.25">
      <c r="A680" s="3" t="s">
        <v>391</v>
      </c>
      <c r="B680" s="1">
        <v>290</v>
      </c>
      <c r="C680" s="1">
        <v>45</v>
      </c>
      <c r="D680" s="1">
        <v>100</v>
      </c>
      <c r="E680" s="1">
        <v>45</v>
      </c>
      <c r="F680" s="1">
        <v>45</v>
      </c>
      <c r="G680" s="1">
        <v>45</v>
      </c>
      <c r="H680" s="1">
        <v>10</v>
      </c>
    </row>
    <row r="681" spans="1:8" x14ac:dyDescent="0.25">
      <c r="A681" s="3" t="s">
        <v>304</v>
      </c>
      <c r="B681" s="1">
        <v>310</v>
      </c>
      <c r="C681" s="1">
        <v>40</v>
      </c>
      <c r="D681" s="1">
        <v>45</v>
      </c>
      <c r="E681" s="1">
        <v>35</v>
      </c>
      <c r="F681" s="1">
        <v>65</v>
      </c>
      <c r="G681" s="1">
        <v>55</v>
      </c>
      <c r="H681" s="1">
        <v>70</v>
      </c>
    </row>
    <row r="682" spans="1:8" x14ac:dyDescent="0.25">
      <c r="A682" s="3" t="s">
        <v>811</v>
      </c>
      <c r="B682" s="1">
        <v>474</v>
      </c>
      <c r="C682" s="1">
        <v>85</v>
      </c>
      <c r="D682" s="1">
        <v>110</v>
      </c>
      <c r="E682" s="1">
        <v>76</v>
      </c>
      <c r="F682" s="1">
        <v>65</v>
      </c>
      <c r="G682" s="1">
        <v>82</v>
      </c>
      <c r="H682" s="1">
        <v>56</v>
      </c>
    </row>
    <row r="683" spans="1:8" x14ac:dyDescent="0.25">
      <c r="A683" s="3" t="s">
        <v>422</v>
      </c>
      <c r="B683" s="1">
        <v>460</v>
      </c>
      <c r="C683" s="1">
        <v>99</v>
      </c>
      <c r="D683" s="1">
        <v>68</v>
      </c>
      <c r="E683" s="1">
        <v>83</v>
      </c>
      <c r="F683" s="1">
        <v>72</v>
      </c>
      <c r="G683" s="1">
        <v>87</v>
      </c>
      <c r="H683" s="1">
        <v>51</v>
      </c>
    </row>
    <row r="684" spans="1:8" x14ac:dyDescent="0.25">
      <c r="A684" s="3" t="s">
        <v>661</v>
      </c>
      <c r="B684" s="1">
        <v>329</v>
      </c>
      <c r="C684" s="1">
        <v>50</v>
      </c>
      <c r="D684" s="1">
        <v>50</v>
      </c>
      <c r="E684" s="1">
        <v>62</v>
      </c>
      <c r="F684" s="1">
        <v>40</v>
      </c>
      <c r="G684" s="1">
        <v>62</v>
      </c>
      <c r="H684" s="1">
        <v>65</v>
      </c>
    </row>
    <row r="685" spans="1:8" x14ac:dyDescent="0.25">
      <c r="A685" s="3" t="s">
        <v>464</v>
      </c>
      <c r="B685" s="1">
        <v>318</v>
      </c>
      <c r="C685" s="1">
        <v>55</v>
      </c>
      <c r="D685" s="1">
        <v>68</v>
      </c>
      <c r="E685" s="1">
        <v>64</v>
      </c>
      <c r="F685" s="1">
        <v>45</v>
      </c>
      <c r="G685" s="1">
        <v>55</v>
      </c>
      <c r="H685" s="1">
        <v>31</v>
      </c>
    </row>
    <row r="686" spans="1:8" x14ac:dyDescent="0.25">
      <c r="A686" s="3" t="s">
        <v>627</v>
      </c>
      <c r="B686" s="1">
        <v>294</v>
      </c>
      <c r="C686" s="1">
        <v>50</v>
      </c>
      <c r="D686" s="1">
        <v>50</v>
      </c>
      <c r="E686" s="1">
        <v>40</v>
      </c>
      <c r="F686" s="1">
        <v>50</v>
      </c>
      <c r="G686" s="1">
        <v>40</v>
      </c>
      <c r="H686" s="1">
        <v>64</v>
      </c>
    </row>
    <row r="687" spans="1:8" x14ac:dyDescent="0.25">
      <c r="A687" s="3" t="s">
        <v>695</v>
      </c>
      <c r="B687" s="1">
        <v>275</v>
      </c>
      <c r="C687" s="1">
        <v>35</v>
      </c>
      <c r="D687" s="1">
        <v>55</v>
      </c>
      <c r="E687" s="1">
        <v>40</v>
      </c>
      <c r="F687" s="1">
        <v>45</v>
      </c>
      <c r="G687" s="1">
        <v>40</v>
      </c>
      <c r="H687" s="1">
        <v>60</v>
      </c>
    </row>
    <row r="688" spans="1:8" x14ac:dyDescent="0.25">
      <c r="A688" s="3" t="s">
        <v>203</v>
      </c>
      <c r="B688" s="1">
        <v>534</v>
      </c>
      <c r="C688" s="1">
        <v>78</v>
      </c>
      <c r="D688" s="1">
        <v>84</v>
      </c>
      <c r="E688" s="1">
        <v>78</v>
      </c>
      <c r="F688" s="1">
        <v>109</v>
      </c>
      <c r="G688" s="1">
        <v>85</v>
      </c>
      <c r="H688" s="1">
        <v>100</v>
      </c>
    </row>
    <row r="689" spans="1:8" x14ac:dyDescent="0.25">
      <c r="A689" s="3" t="s">
        <v>300</v>
      </c>
      <c r="B689" s="1">
        <v>600</v>
      </c>
      <c r="C689" s="1">
        <v>100</v>
      </c>
      <c r="D689" s="1">
        <v>134</v>
      </c>
      <c r="E689" s="1">
        <v>110</v>
      </c>
      <c r="F689" s="1">
        <v>95</v>
      </c>
      <c r="G689" s="1">
        <v>100</v>
      </c>
      <c r="H689" s="1">
        <v>61</v>
      </c>
    </row>
    <row r="690" spans="1:8" x14ac:dyDescent="0.25">
      <c r="A690" s="3" t="s">
        <v>799</v>
      </c>
      <c r="B690" s="1">
        <v>521</v>
      </c>
      <c r="C690" s="1">
        <v>82</v>
      </c>
      <c r="D690" s="1">
        <v>121</v>
      </c>
      <c r="E690" s="1">
        <v>119</v>
      </c>
      <c r="F690" s="1">
        <v>69</v>
      </c>
      <c r="G690" s="1">
        <v>59</v>
      </c>
      <c r="H690" s="1">
        <v>71</v>
      </c>
    </row>
    <row r="691" spans="1:8" x14ac:dyDescent="0.25">
      <c r="A691" s="3" t="s">
        <v>287</v>
      </c>
      <c r="B691" s="1">
        <v>210</v>
      </c>
      <c r="C691" s="1">
        <v>35</v>
      </c>
      <c r="D691" s="1">
        <v>35</v>
      </c>
      <c r="E691" s="1">
        <v>35</v>
      </c>
      <c r="F691" s="1">
        <v>35</v>
      </c>
      <c r="G691" s="1">
        <v>35</v>
      </c>
      <c r="H691" s="1">
        <v>35</v>
      </c>
    </row>
    <row r="692" spans="1:8" x14ac:dyDescent="0.25">
      <c r="A692" s="3" t="s">
        <v>798</v>
      </c>
      <c r="B692" s="1">
        <v>362</v>
      </c>
      <c r="C692" s="1">
        <v>58</v>
      </c>
      <c r="D692" s="1">
        <v>89</v>
      </c>
      <c r="E692" s="1">
        <v>77</v>
      </c>
      <c r="F692" s="1">
        <v>45</v>
      </c>
      <c r="G692" s="1">
        <v>45</v>
      </c>
      <c r="H692" s="1">
        <v>48</v>
      </c>
    </row>
    <row r="693" spans="1:8" x14ac:dyDescent="0.25">
      <c r="A693" s="3" t="s">
        <v>244</v>
      </c>
      <c r="B693" s="1">
        <v>525</v>
      </c>
      <c r="C693" s="1">
        <v>95</v>
      </c>
      <c r="D693" s="1">
        <v>65</v>
      </c>
      <c r="E693" s="1">
        <v>110</v>
      </c>
      <c r="F693" s="1">
        <v>60</v>
      </c>
      <c r="G693" s="1">
        <v>130</v>
      </c>
      <c r="H693" s="1">
        <v>65</v>
      </c>
    </row>
    <row r="694" spans="1:8" x14ac:dyDescent="0.25">
      <c r="A694" s="3" t="s">
        <v>612</v>
      </c>
      <c r="B694" s="1">
        <v>488</v>
      </c>
      <c r="C694" s="1">
        <v>80</v>
      </c>
      <c r="D694" s="1">
        <v>115</v>
      </c>
      <c r="E694" s="1">
        <v>80</v>
      </c>
      <c r="F694" s="1">
        <v>65</v>
      </c>
      <c r="G694" s="1">
        <v>55</v>
      </c>
      <c r="H694" s="1">
        <v>93</v>
      </c>
    </row>
    <row r="695" spans="1:8" x14ac:dyDescent="0.25">
      <c r="A695" s="3" t="s">
        <v>248</v>
      </c>
      <c r="B695" s="1">
        <v>336</v>
      </c>
      <c r="C695" s="1">
        <v>48</v>
      </c>
      <c r="D695" s="1">
        <v>72</v>
      </c>
      <c r="E695" s="1">
        <v>48</v>
      </c>
      <c r="F695" s="1">
        <v>72</v>
      </c>
      <c r="G695" s="1">
        <v>48</v>
      </c>
      <c r="H695" s="1">
        <v>48</v>
      </c>
    </row>
    <row r="696" spans="1:8" x14ac:dyDescent="0.25">
      <c r="A696" s="3" t="s">
        <v>267</v>
      </c>
      <c r="B696" s="1">
        <v>500</v>
      </c>
      <c r="C696" s="1">
        <v>90</v>
      </c>
      <c r="D696" s="1">
        <v>130</v>
      </c>
      <c r="E696" s="1">
        <v>75</v>
      </c>
      <c r="F696" s="1">
        <v>75</v>
      </c>
      <c r="G696" s="1">
        <v>75</v>
      </c>
      <c r="H696" s="1">
        <v>55</v>
      </c>
    </row>
    <row r="697" spans="1:8" x14ac:dyDescent="0.25">
      <c r="A697" s="3" t="s">
        <v>569</v>
      </c>
      <c r="B697" s="1">
        <v>580</v>
      </c>
      <c r="C697" s="1">
        <v>75</v>
      </c>
      <c r="D697" s="1">
        <v>75</v>
      </c>
      <c r="E697" s="1">
        <v>130</v>
      </c>
      <c r="F697" s="1">
        <v>75</v>
      </c>
      <c r="G697" s="1">
        <v>130</v>
      </c>
      <c r="H697" s="1">
        <v>95</v>
      </c>
    </row>
    <row r="698" spans="1:8" x14ac:dyDescent="0.25">
      <c r="A698" s="3" t="s">
        <v>676</v>
      </c>
      <c r="B698" s="1">
        <v>395</v>
      </c>
      <c r="C698" s="1">
        <v>51</v>
      </c>
      <c r="D698" s="1">
        <v>65</v>
      </c>
      <c r="E698" s="1">
        <v>65</v>
      </c>
      <c r="F698" s="1">
        <v>80</v>
      </c>
      <c r="G698" s="1">
        <v>75</v>
      </c>
      <c r="H698" s="1">
        <v>59</v>
      </c>
    </row>
    <row r="699" spans="1:8" x14ac:dyDescent="0.25">
      <c r="A699" s="3" t="s">
        <v>675</v>
      </c>
      <c r="B699" s="1">
        <v>305</v>
      </c>
      <c r="C699" s="1">
        <v>36</v>
      </c>
      <c r="D699" s="1">
        <v>50</v>
      </c>
      <c r="E699" s="1">
        <v>50</v>
      </c>
      <c r="F699" s="1">
        <v>65</v>
      </c>
      <c r="G699" s="1">
        <v>60</v>
      </c>
      <c r="H699" s="1">
        <v>44</v>
      </c>
    </row>
    <row r="700" spans="1:8" x14ac:dyDescent="0.25">
      <c r="A700" s="3" t="s">
        <v>677</v>
      </c>
      <c r="B700" s="1">
        <v>535</v>
      </c>
      <c r="C700" s="1">
        <v>71</v>
      </c>
      <c r="D700" s="1">
        <v>95</v>
      </c>
      <c r="E700" s="1">
        <v>85</v>
      </c>
      <c r="F700" s="1">
        <v>110</v>
      </c>
      <c r="G700" s="1">
        <v>95</v>
      </c>
      <c r="H700" s="1">
        <v>79</v>
      </c>
    </row>
    <row r="701" spans="1:8" x14ac:dyDescent="0.25">
      <c r="A701" s="3" t="s">
        <v>177</v>
      </c>
      <c r="B701" s="1">
        <v>525</v>
      </c>
      <c r="C701" s="1">
        <v>130</v>
      </c>
      <c r="D701" s="1">
        <v>65</v>
      </c>
      <c r="E701" s="1">
        <v>60</v>
      </c>
      <c r="F701" s="1">
        <v>110</v>
      </c>
      <c r="G701" s="1">
        <v>95</v>
      </c>
      <c r="H701" s="1">
        <v>65</v>
      </c>
    </row>
    <row r="702" spans="1:8" x14ac:dyDescent="0.25">
      <c r="A702" s="3" t="s">
        <v>635</v>
      </c>
      <c r="B702" s="1">
        <v>260</v>
      </c>
      <c r="C702" s="1">
        <v>30</v>
      </c>
      <c r="D702" s="1">
        <v>45</v>
      </c>
      <c r="E702" s="1">
        <v>59</v>
      </c>
      <c r="F702" s="1">
        <v>30</v>
      </c>
      <c r="G702" s="1">
        <v>39</v>
      </c>
      <c r="H702" s="1">
        <v>57</v>
      </c>
    </row>
    <row r="703" spans="1:8" x14ac:dyDescent="0.25">
      <c r="A703" s="3" t="s">
        <v>79</v>
      </c>
      <c r="B703" s="1">
        <v>450</v>
      </c>
      <c r="C703" s="1">
        <v>70</v>
      </c>
      <c r="D703" s="1">
        <v>65</v>
      </c>
      <c r="E703" s="1">
        <v>60</v>
      </c>
      <c r="F703" s="1">
        <v>90</v>
      </c>
      <c r="G703" s="1">
        <v>75</v>
      </c>
      <c r="H703" s="1">
        <v>90</v>
      </c>
    </row>
    <row r="704" spans="1:8" x14ac:dyDescent="0.25">
      <c r="A704" s="3" t="s">
        <v>78</v>
      </c>
      <c r="B704" s="1">
        <v>305</v>
      </c>
      <c r="C704" s="1">
        <v>60</v>
      </c>
      <c r="D704" s="1">
        <v>55</v>
      </c>
      <c r="E704" s="1">
        <v>50</v>
      </c>
      <c r="F704" s="1">
        <v>40</v>
      </c>
      <c r="G704" s="1">
        <v>55</v>
      </c>
      <c r="H704" s="1">
        <v>45</v>
      </c>
    </row>
    <row r="705" spans="1:8" x14ac:dyDescent="0.25">
      <c r="A705" s="3" t="s">
        <v>17</v>
      </c>
      <c r="B705" s="1">
        <v>525</v>
      </c>
      <c r="C705" s="1">
        <v>80</v>
      </c>
      <c r="D705" s="1">
        <v>82</v>
      </c>
      <c r="E705" s="1">
        <v>83</v>
      </c>
      <c r="F705" s="1">
        <v>100</v>
      </c>
      <c r="G705" s="1">
        <v>100</v>
      </c>
      <c r="H705" s="1">
        <v>80</v>
      </c>
    </row>
    <row r="706" spans="1:8" x14ac:dyDescent="0.25">
      <c r="A706" s="3" t="s">
        <v>495</v>
      </c>
      <c r="B706" s="1">
        <v>474</v>
      </c>
      <c r="C706" s="1">
        <v>70</v>
      </c>
      <c r="D706" s="1">
        <v>80</v>
      </c>
      <c r="E706" s="1">
        <v>102</v>
      </c>
      <c r="F706" s="1">
        <v>80</v>
      </c>
      <c r="G706" s="1">
        <v>102</v>
      </c>
      <c r="H706" s="1">
        <v>40</v>
      </c>
    </row>
    <row r="707" spans="1:8" x14ac:dyDescent="0.25">
      <c r="A707" s="3" t="s">
        <v>392</v>
      </c>
      <c r="B707" s="1">
        <v>340</v>
      </c>
      <c r="C707" s="1">
        <v>50</v>
      </c>
      <c r="D707" s="1">
        <v>70</v>
      </c>
      <c r="E707" s="1">
        <v>50</v>
      </c>
      <c r="F707" s="1">
        <v>50</v>
      </c>
      <c r="G707" s="1">
        <v>50</v>
      </c>
      <c r="H707" s="1">
        <v>70</v>
      </c>
    </row>
    <row r="708" spans="1:8" x14ac:dyDescent="0.25">
      <c r="A708" s="3" t="s">
        <v>585</v>
      </c>
      <c r="B708" s="1">
        <v>600</v>
      </c>
      <c r="C708" s="1">
        <v>100</v>
      </c>
      <c r="D708" s="1">
        <v>100</v>
      </c>
      <c r="E708" s="1">
        <v>100</v>
      </c>
      <c r="F708" s="1">
        <v>100</v>
      </c>
      <c r="G708" s="1">
        <v>100</v>
      </c>
      <c r="H708" s="1">
        <v>100</v>
      </c>
    </row>
    <row r="709" spans="1:8" x14ac:dyDescent="0.25">
      <c r="A709" s="3" t="s">
        <v>104</v>
      </c>
      <c r="B709" s="1">
        <v>490</v>
      </c>
      <c r="C709" s="1">
        <v>80</v>
      </c>
      <c r="D709" s="1">
        <v>105</v>
      </c>
      <c r="E709" s="1">
        <v>65</v>
      </c>
      <c r="F709" s="1">
        <v>100</v>
      </c>
      <c r="G709" s="1">
        <v>70</v>
      </c>
      <c r="H709" s="1">
        <v>70</v>
      </c>
    </row>
    <row r="710" spans="1:8" x14ac:dyDescent="0.25">
      <c r="A710" s="3" t="s">
        <v>344</v>
      </c>
      <c r="B710" s="1">
        <v>440</v>
      </c>
      <c r="C710" s="1">
        <v>80</v>
      </c>
      <c r="D710" s="1">
        <v>80</v>
      </c>
      <c r="E710" s="1">
        <v>80</v>
      </c>
      <c r="F710" s="1">
        <v>55</v>
      </c>
      <c r="G710" s="1">
        <v>55</v>
      </c>
      <c r="H710" s="1">
        <v>90</v>
      </c>
    </row>
    <row r="711" spans="1:8" x14ac:dyDescent="0.25">
      <c r="A711" s="3" t="s">
        <v>75</v>
      </c>
      <c r="B711" s="1">
        <v>490</v>
      </c>
      <c r="C711" s="1">
        <v>75</v>
      </c>
      <c r="D711" s="1">
        <v>80</v>
      </c>
      <c r="E711" s="1">
        <v>85</v>
      </c>
      <c r="F711" s="1">
        <v>110</v>
      </c>
      <c r="G711" s="1">
        <v>90</v>
      </c>
      <c r="H711" s="1">
        <v>50</v>
      </c>
    </row>
    <row r="712" spans="1:8" x14ac:dyDescent="0.25">
      <c r="A712" s="3" t="s">
        <v>733</v>
      </c>
      <c r="B712" s="1">
        <v>580</v>
      </c>
      <c r="C712" s="1">
        <v>91</v>
      </c>
      <c r="D712" s="1">
        <v>90</v>
      </c>
      <c r="E712" s="1">
        <v>72</v>
      </c>
      <c r="F712" s="1">
        <v>90</v>
      </c>
      <c r="G712" s="1">
        <v>129</v>
      </c>
      <c r="H712" s="1">
        <v>108</v>
      </c>
    </row>
    <row r="713" spans="1:8" x14ac:dyDescent="0.25">
      <c r="A713" s="3" t="s">
        <v>766</v>
      </c>
      <c r="B713" s="1">
        <v>411</v>
      </c>
      <c r="C713" s="1">
        <v>80</v>
      </c>
      <c r="D713" s="1">
        <v>52</v>
      </c>
      <c r="E713" s="1">
        <v>50</v>
      </c>
      <c r="F713" s="1">
        <v>90</v>
      </c>
      <c r="G713" s="1">
        <v>50</v>
      </c>
      <c r="H713" s="1">
        <v>89</v>
      </c>
    </row>
    <row r="714" spans="1:8" x14ac:dyDescent="0.25">
      <c r="A714" s="3" t="s">
        <v>374</v>
      </c>
      <c r="B714" s="1">
        <v>400</v>
      </c>
      <c r="C714" s="1">
        <v>65</v>
      </c>
      <c r="D714" s="1">
        <v>73</v>
      </c>
      <c r="E714" s="1">
        <v>55</v>
      </c>
      <c r="F714" s="1">
        <v>47</v>
      </c>
      <c r="G714" s="1">
        <v>75</v>
      </c>
      <c r="H714" s="1">
        <v>85</v>
      </c>
    </row>
    <row r="715" spans="1:8" x14ac:dyDescent="0.25">
      <c r="A715" s="3" t="s">
        <v>831</v>
      </c>
      <c r="B715" s="1">
        <v>600</v>
      </c>
      <c r="C715" s="1">
        <v>80</v>
      </c>
      <c r="D715" s="1">
        <v>110</v>
      </c>
      <c r="E715" s="1">
        <v>120</v>
      </c>
      <c r="F715" s="1">
        <v>130</v>
      </c>
      <c r="G715" s="1">
        <v>90</v>
      </c>
      <c r="H715" s="1">
        <v>70</v>
      </c>
    </row>
    <row r="716" spans="1:8" x14ac:dyDescent="0.25">
      <c r="A716" s="3" t="s">
        <v>730</v>
      </c>
      <c r="B716" s="1">
        <v>550</v>
      </c>
      <c r="C716" s="1">
        <v>85</v>
      </c>
      <c r="D716" s="1">
        <v>60</v>
      </c>
      <c r="E716" s="1">
        <v>65</v>
      </c>
      <c r="F716" s="1">
        <v>135</v>
      </c>
      <c r="G716" s="1">
        <v>105</v>
      </c>
      <c r="H716" s="1">
        <v>100</v>
      </c>
    </row>
    <row r="717" spans="1:8" x14ac:dyDescent="0.25">
      <c r="A717" s="3" t="s">
        <v>139</v>
      </c>
      <c r="B717" s="1">
        <v>330</v>
      </c>
      <c r="C717" s="1">
        <v>40</v>
      </c>
      <c r="D717" s="1">
        <v>30</v>
      </c>
      <c r="E717" s="1">
        <v>50</v>
      </c>
      <c r="F717" s="1">
        <v>55</v>
      </c>
      <c r="G717" s="1">
        <v>55</v>
      </c>
      <c r="H717" s="1">
        <v>100</v>
      </c>
    </row>
    <row r="718" spans="1:8" x14ac:dyDescent="0.25">
      <c r="A718" s="3" t="s">
        <v>722</v>
      </c>
      <c r="B718" s="1">
        <v>370</v>
      </c>
      <c r="C718" s="1">
        <v>70</v>
      </c>
      <c r="D718" s="1">
        <v>55</v>
      </c>
      <c r="E718" s="1">
        <v>75</v>
      </c>
      <c r="F718" s="1">
        <v>45</v>
      </c>
      <c r="G718" s="1">
        <v>65</v>
      </c>
      <c r="H718" s="1">
        <v>60</v>
      </c>
    </row>
    <row r="719" spans="1:8" x14ac:dyDescent="0.25">
      <c r="A719" s="3" t="s">
        <v>67</v>
      </c>
      <c r="B719" s="1">
        <v>299</v>
      </c>
      <c r="C719" s="1">
        <v>38</v>
      </c>
      <c r="D719" s="1">
        <v>41</v>
      </c>
      <c r="E719" s="1">
        <v>40</v>
      </c>
      <c r="F719" s="1">
        <v>50</v>
      </c>
      <c r="G719" s="1">
        <v>65</v>
      </c>
      <c r="H719" s="1">
        <v>65</v>
      </c>
    </row>
    <row r="720" spans="1:8" x14ac:dyDescent="0.25">
      <c r="A720" s="3" t="s">
        <v>382</v>
      </c>
      <c r="B720" s="1">
        <v>400</v>
      </c>
      <c r="C720" s="1">
        <v>130</v>
      </c>
      <c r="D720" s="1">
        <v>70</v>
      </c>
      <c r="E720" s="1">
        <v>35</v>
      </c>
      <c r="F720" s="1">
        <v>70</v>
      </c>
      <c r="G720" s="1">
        <v>35</v>
      </c>
      <c r="H720" s="1">
        <v>60</v>
      </c>
    </row>
    <row r="721" spans="1:8" x14ac:dyDescent="0.25">
      <c r="A721" s="3" t="s">
        <v>383</v>
      </c>
      <c r="B721" s="1">
        <v>500</v>
      </c>
      <c r="C721" s="1">
        <v>170</v>
      </c>
      <c r="D721" s="1">
        <v>90</v>
      </c>
      <c r="E721" s="1">
        <v>45</v>
      </c>
      <c r="F721" s="1">
        <v>90</v>
      </c>
      <c r="G721" s="1">
        <v>45</v>
      </c>
      <c r="H721" s="1">
        <v>60</v>
      </c>
    </row>
    <row r="722" spans="1:8" x14ac:dyDescent="0.25">
      <c r="A722" s="3" t="s">
        <v>432</v>
      </c>
      <c r="B722" s="1">
        <v>530</v>
      </c>
      <c r="C722" s="1">
        <v>110</v>
      </c>
      <c r="D722" s="1">
        <v>80</v>
      </c>
      <c r="E722" s="1">
        <v>90</v>
      </c>
      <c r="F722" s="1">
        <v>95</v>
      </c>
      <c r="G722" s="1">
        <v>90</v>
      </c>
      <c r="H722" s="1">
        <v>65</v>
      </c>
    </row>
    <row r="723" spans="1:8" x14ac:dyDescent="0.25">
      <c r="A723" s="3" t="s">
        <v>30</v>
      </c>
      <c r="B723" s="1">
        <v>405</v>
      </c>
      <c r="C723" s="1">
        <v>59</v>
      </c>
      <c r="D723" s="1">
        <v>63</v>
      </c>
      <c r="E723" s="1">
        <v>80</v>
      </c>
      <c r="F723" s="1">
        <v>65</v>
      </c>
      <c r="G723" s="1">
        <v>80</v>
      </c>
      <c r="H723" s="1">
        <v>58</v>
      </c>
    </row>
    <row r="724" spans="1:8" x14ac:dyDescent="0.25">
      <c r="A724" s="3" t="s">
        <v>596</v>
      </c>
      <c r="B724" s="1">
        <v>420</v>
      </c>
      <c r="C724" s="1">
        <v>60</v>
      </c>
      <c r="D724" s="1">
        <v>85</v>
      </c>
      <c r="E724" s="1">
        <v>69</v>
      </c>
      <c r="F724" s="1">
        <v>60</v>
      </c>
      <c r="G724" s="1">
        <v>69</v>
      </c>
      <c r="H724" s="1">
        <v>77</v>
      </c>
    </row>
    <row r="725" spans="1:8" x14ac:dyDescent="0.25">
      <c r="A725" s="3" t="s">
        <v>544</v>
      </c>
      <c r="B725" s="1">
        <v>510</v>
      </c>
      <c r="C725" s="1">
        <v>70</v>
      </c>
      <c r="D725" s="1">
        <v>120</v>
      </c>
      <c r="E725" s="1">
        <v>65</v>
      </c>
      <c r="F725" s="1">
        <v>45</v>
      </c>
      <c r="G725" s="1">
        <v>85</v>
      </c>
      <c r="H725" s="1">
        <v>125</v>
      </c>
    </row>
    <row r="726" spans="1:8" x14ac:dyDescent="0.25">
      <c r="A726" s="3" t="s">
        <v>37</v>
      </c>
      <c r="B726" s="1">
        <v>195</v>
      </c>
      <c r="C726" s="1">
        <v>40</v>
      </c>
      <c r="D726" s="1">
        <v>35</v>
      </c>
      <c r="E726" s="1">
        <v>30</v>
      </c>
      <c r="F726" s="1">
        <v>20</v>
      </c>
      <c r="G726" s="1">
        <v>20</v>
      </c>
      <c r="H726" s="1">
        <v>50</v>
      </c>
    </row>
    <row r="727" spans="1:8" x14ac:dyDescent="0.25">
      <c r="A727" s="3" t="s">
        <v>103</v>
      </c>
      <c r="B727" s="1">
        <v>390</v>
      </c>
      <c r="C727" s="1">
        <v>65</v>
      </c>
      <c r="D727" s="1">
        <v>90</v>
      </c>
      <c r="E727" s="1">
        <v>50</v>
      </c>
      <c r="F727" s="1">
        <v>85</v>
      </c>
      <c r="G727" s="1">
        <v>45</v>
      </c>
      <c r="H727" s="1">
        <v>55</v>
      </c>
    </row>
    <row r="728" spans="1:8" x14ac:dyDescent="0.25">
      <c r="A728" s="3" t="s">
        <v>149</v>
      </c>
      <c r="B728" s="1">
        <v>490</v>
      </c>
      <c r="C728" s="1">
        <v>65</v>
      </c>
      <c r="D728" s="1">
        <v>90</v>
      </c>
      <c r="E728" s="1">
        <v>120</v>
      </c>
      <c r="F728" s="1">
        <v>85</v>
      </c>
      <c r="G728" s="1">
        <v>70</v>
      </c>
      <c r="H728" s="1">
        <v>60</v>
      </c>
    </row>
    <row r="729" spans="1:8" x14ac:dyDescent="0.25">
      <c r="A729" s="3" t="s">
        <v>639</v>
      </c>
      <c r="B729" s="1">
        <v>480</v>
      </c>
      <c r="C729" s="1">
        <v>60</v>
      </c>
      <c r="D729" s="1">
        <v>67</v>
      </c>
      <c r="E729" s="1">
        <v>85</v>
      </c>
      <c r="F729" s="1">
        <v>77</v>
      </c>
      <c r="G729" s="1">
        <v>75</v>
      </c>
      <c r="H729" s="1">
        <v>116</v>
      </c>
    </row>
    <row r="730" spans="1:8" x14ac:dyDescent="0.25">
      <c r="A730" s="3" t="s">
        <v>636</v>
      </c>
      <c r="B730" s="1">
        <v>360</v>
      </c>
      <c r="C730" s="1">
        <v>40</v>
      </c>
      <c r="D730" s="1">
        <v>55</v>
      </c>
      <c r="E730" s="1">
        <v>99</v>
      </c>
      <c r="F730" s="1">
        <v>40</v>
      </c>
      <c r="G730" s="1">
        <v>79</v>
      </c>
      <c r="H730" s="1">
        <v>47</v>
      </c>
    </row>
    <row r="731" spans="1:8" x14ac:dyDescent="0.25">
      <c r="A731" s="3" t="s">
        <v>404</v>
      </c>
      <c r="B731" s="1">
        <v>468</v>
      </c>
      <c r="C731" s="1">
        <v>110</v>
      </c>
      <c r="D731" s="1">
        <v>78</v>
      </c>
      <c r="E731" s="1">
        <v>73</v>
      </c>
      <c r="F731" s="1">
        <v>76</v>
      </c>
      <c r="G731" s="1">
        <v>71</v>
      </c>
      <c r="H731" s="1">
        <v>60</v>
      </c>
    </row>
    <row r="732" spans="1:8" x14ac:dyDescent="0.25">
      <c r="A732" s="3" t="s">
        <v>349</v>
      </c>
      <c r="B732" s="1">
        <v>240</v>
      </c>
      <c r="C732" s="1">
        <v>64</v>
      </c>
      <c r="D732" s="1">
        <v>51</v>
      </c>
      <c r="E732" s="1">
        <v>23</v>
      </c>
      <c r="F732" s="1">
        <v>51</v>
      </c>
      <c r="G732" s="1">
        <v>23</v>
      </c>
      <c r="H732" s="1">
        <v>28</v>
      </c>
    </row>
    <row r="733" spans="1:8" x14ac:dyDescent="0.25">
      <c r="A733" s="3" t="s">
        <v>70</v>
      </c>
      <c r="B733" s="1">
        <v>435</v>
      </c>
      <c r="C733" s="1">
        <v>140</v>
      </c>
      <c r="D733" s="1">
        <v>70</v>
      </c>
      <c r="E733" s="1">
        <v>45</v>
      </c>
      <c r="F733" s="1">
        <v>85</v>
      </c>
      <c r="G733" s="1">
        <v>50</v>
      </c>
      <c r="H733" s="1">
        <v>45</v>
      </c>
    </row>
    <row r="734" spans="1:8" x14ac:dyDescent="0.25">
      <c r="A734" s="3" t="s">
        <v>333</v>
      </c>
      <c r="B734" s="1">
        <v>270</v>
      </c>
      <c r="C734" s="1">
        <v>40</v>
      </c>
      <c r="D734" s="1">
        <v>30</v>
      </c>
      <c r="E734" s="1">
        <v>30</v>
      </c>
      <c r="F734" s="1">
        <v>55</v>
      </c>
      <c r="G734" s="1">
        <v>30</v>
      </c>
      <c r="H734" s="1">
        <v>85</v>
      </c>
    </row>
    <row r="735" spans="1:8" x14ac:dyDescent="0.25">
      <c r="A735" s="3" t="s">
        <v>249</v>
      </c>
      <c r="B735" s="1">
        <v>405</v>
      </c>
      <c r="C735" s="1">
        <v>190</v>
      </c>
      <c r="D735" s="1">
        <v>33</v>
      </c>
      <c r="E735" s="1">
        <v>58</v>
      </c>
      <c r="F735" s="1">
        <v>33</v>
      </c>
      <c r="G735" s="1">
        <v>58</v>
      </c>
      <c r="H735" s="1">
        <v>33</v>
      </c>
    </row>
    <row r="736" spans="1:8" x14ac:dyDescent="0.25">
      <c r="A736" s="3" t="s">
        <v>618</v>
      </c>
      <c r="B736" s="1">
        <v>313</v>
      </c>
      <c r="C736" s="1">
        <v>55</v>
      </c>
      <c r="D736" s="1">
        <v>45</v>
      </c>
      <c r="E736" s="1">
        <v>43</v>
      </c>
      <c r="F736" s="1">
        <v>55</v>
      </c>
      <c r="G736" s="1">
        <v>43</v>
      </c>
      <c r="H736" s="1">
        <v>72</v>
      </c>
    </row>
    <row r="737" spans="1:8" x14ac:dyDescent="0.25">
      <c r="A737" s="3" t="s">
        <v>241</v>
      </c>
      <c r="B737" s="1">
        <v>210</v>
      </c>
      <c r="C737" s="1">
        <v>55</v>
      </c>
      <c r="D737" s="1">
        <v>45</v>
      </c>
      <c r="E737" s="1">
        <v>45</v>
      </c>
      <c r="F737" s="1">
        <v>25</v>
      </c>
      <c r="G737" s="1">
        <v>25</v>
      </c>
      <c r="H737" s="1">
        <v>15</v>
      </c>
    </row>
    <row r="738" spans="1:8" x14ac:dyDescent="0.25">
      <c r="A738" s="3" t="s">
        <v>491</v>
      </c>
      <c r="B738" s="1">
        <v>424</v>
      </c>
      <c r="C738" s="1">
        <v>60</v>
      </c>
      <c r="D738" s="1">
        <v>59</v>
      </c>
      <c r="E738" s="1">
        <v>85</v>
      </c>
      <c r="F738" s="1">
        <v>79</v>
      </c>
      <c r="G738" s="1">
        <v>105</v>
      </c>
      <c r="H738" s="1">
        <v>36</v>
      </c>
    </row>
    <row r="739" spans="1:8" x14ac:dyDescent="0.25">
      <c r="A739" s="3" t="s">
        <v>492</v>
      </c>
      <c r="B739" s="1">
        <v>424</v>
      </c>
      <c r="C739" s="1">
        <v>60</v>
      </c>
      <c r="D739" s="1">
        <v>79</v>
      </c>
      <c r="E739" s="1">
        <v>105</v>
      </c>
      <c r="F739" s="1">
        <v>59</v>
      </c>
      <c r="G739" s="1">
        <v>85</v>
      </c>
      <c r="H739" s="1">
        <v>36</v>
      </c>
    </row>
    <row r="740" spans="1:8" x14ac:dyDescent="0.25">
      <c r="A740" s="3" t="s">
        <v>490</v>
      </c>
      <c r="B740" s="1">
        <v>424</v>
      </c>
      <c r="C740" s="1">
        <v>60</v>
      </c>
      <c r="D740" s="1">
        <v>69</v>
      </c>
      <c r="E740" s="1">
        <v>95</v>
      </c>
      <c r="F740" s="1">
        <v>69</v>
      </c>
      <c r="G740" s="1">
        <v>95</v>
      </c>
      <c r="H740" s="1">
        <v>36</v>
      </c>
    </row>
    <row r="741" spans="1:8" x14ac:dyDescent="0.25">
      <c r="A741" s="3" t="s">
        <v>320</v>
      </c>
      <c r="B741" s="1">
        <v>195</v>
      </c>
      <c r="C741" s="1">
        <v>45</v>
      </c>
      <c r="D741" s="1">
        <v>45</v>
      </c>
      <c r="E741" s="1">
        <v>35</v>
      </c>
      <c r="F741" s="1">
        <v>20</v>
      </c>
      <c r="G741" s="1">
        <v>30</v>
      </c>
      <c r="H741" s="1">
        <v>20</v>
      </c>
    </row>
    <row r="742" spans="1:8" x14ac:dyDescent="0.25">
      <c r="A742" s="3" t="s">
        <v>426</v>
      </c>
      <c r="B742" s="1">
        <v>260</v>
      </c>
      <c r="C742" s="1">
        <v>95</v>
      </c>
      <c r="D742" s="1">
        <v>23</v>
      </c>
      <c r="E742" s="1">
        <v>48</v>
      </c>
      <c r="F742" s="1">
        <v>23</v>
      </c>
      <c r="G742" s="1">
        <v>48</v>
      </c>
      <c r="H742" s="1">
        <v>23</v>
      </c>
    </row>
    <row r="743" spans="1:8" x14ac:dyDescent="0.25">
      <c r="A743" s="3" t="s">
        <v>224</v>
      </c>
      <c r="B743" s="1">
        <v>470</v>
      </c>
      <c r="C743" s="1">
        <v>65</v>
      </c>
      <c r="D743" s="1">
        <v>75</v>
      </c>
      <c r="E743" s="1">
        <v>70</v>
      </c>
      <c r="F743" s="1">
        <v>95</v>
      </c>
      <c r="G743" s="1">
        <v>70</v>
      </c>
      <c r="H743" s="1">
        <v>95</v>
      </c>
    </row>
    <row r="744" spans="1:8" x14ac:dyDescent="0.25">
      <c r="A744" s="3" t="s">
        <v>824</v>
      </c>
      <c r="B744" s="1">
        <v>680</v>
      </c>
      <c r="C744" s="1">
        <v>126</v>
      </c>
      <c r="D744" s="1">
        <v>131</v>
      </c>
      <c r="E744" s="1">
        <v>95</v>
      </c>
      <c r="F744" s="1">
        <v>131</v>
      </c>
      <c r="G744" s="1">
        <v>98</v>
      </c>
      <c r="H744" s="1">
        <v>99</v>
      </c>
    </row>
    <row r="745" spans="1:8" x14ac:dyDescent="0.25">
      <c r="A745" s="3" t="s">
        <v>655</v>
      </c>
      <c r="B745" s="1">
        <v>303</v>
      </c>
      <c r="C745" s="1">
        <v>38</v>
      </c>
      <c r="D745" s="1">
        <v>30</v>
      </c>
      <c r="E745" s="1">
        <v>85</v>
      </c>
      <c r="F745" s="1">
        <v>55</v>
      </c>
      <c r="G745" s="1">
        <v>65</v>
      </c>
      <c r="H745" s="1">
        <v>30</v>
      </c>
    </row>
    <row r="746" spans="1:8" x14ac:dyDescent="0.25">
      <c r="A746" s="3" t="s">
        <v>240</v>
      </c>
      <c r="B746" s="1">
        <v>390</v>
      </c>
      <c r="C746" s="1">
        <v>65</v>
      </c>
      <c r="D746" s="1">
        <v>65</v>
      </c>
      <c r="E746" s="1">
        <v>45</v>
      </c>
      <c r="F746" s="1">
        <v>75</v>
      </c>
      <c r="G746" s="1">
        <v>45</v>
      </c>
      <c r="H746" s="1">
        <v>95</v>
      </c>
    </row>
    <row r="747" spans="1:8" x14ac:dyDescent="0.25">
      <c r="A747" s="3" t="s">
        <v>825</v>
      </c>
      <c r="B747" s="1">
        <v>680</v>
      </c>
      <c r="C747" s="1">
        <v>126</v>
      </c>
      <c r="D747" s="1">
        <v>131</v>
      </c>
      <c r="E747" s="1">
        <v>95</v>
      </c>
      <c r="F747" s="1">
        <v>131</v>
      </c>
      <c r="G747" s="1">
        <v>98</v>
      </c>
      <c r="H747" s="1">
        <v>99</v>
      </c>
    </row>
    <row r="748" spans="1:8" x14ac:dyDescent="0.25">
      <c r="A748" s="3" t="s">
        <v>399</v>
      </c>
      <c r="B748" s="1">
        <v>458</v>
      </c>
      <c r="C748" s="1">
        <v>73</v>
      </c>
      <c r="D748" s="1">
        <v>115</v>
      </c>
      <c r="E748" s="1">
        <v>60</v>
      </c>
      <c r="F748" s="1">
        <v>60</v>
      </c>
      <c r="G748" s="1">
        <v>60</v>
      </c>
      <c r="H748" s="1">
        <v>90</v>
      </c>
    </row>
    <row r="749" spans="1:8" x14ac:dyDescent="0.25">
      <c r="A749" s="3" t="s">
        <v>189</v>
      </c>
      <c r="B749" s="1">
        <v>580</v>
      </c>
      <c r="C749" s="1">
        <v>90</v>
      </c>
      <c r="D749" s="1">
        <v>90</v>
      </c>
      <c r="E749" s="1">
        <v>85</v>
      </c>
      <c r="F749" s="1">
        <v>125</v>
      </c>
      <c r="G749" s="1">
        <v>90</v>
      </c>
      <c r="H749" s="1">
        <v>100</v>
      </c>
    </row>
    <row r="750" spans="1:8" x14ac:dyDescent="0.25">
      <c r="A750" s="3" t="s">
        <v>614</v>
      </c>
      <c r="B750" s="1">
        <v>497</v>
      </c>
      <c r="C750" s="1">
        <v>75</v>
      </c>
      <c r="D750" s="1">
        <v>100</v>
      </c>
      <c r="E750" s="1">
        <v>63</v>
      </c>
      <c r="F750" s="1">
        <v>80</v>
      </c>
      <c r="G750" s="1">
        <v>63</v>
      </c>
      <c r="H750" s="1">
        <v>116</v>
      </c>
    </row>
    <row r="751" spans="1:8" x14ac:dyDescent="0.25">
      <c r="A751" s="3" t="s">
        <v>739</v>
      </c>
      <c r="B751" s="1">
        <v>680</v>
      </c>
      <c r="C751" s="1">
        <v>100</v>
      </c>
      <c r="D751" s="1">
        <v>150</v>
      </c>
      <c r="E751" s="1">
        <v>120</v>
      </c>
      <c r="F751" s="1">
        <v>120</v>
      </c>
      <c r="G751" s="1">
        <v>100</v>
      </c>
      <c r="H751" s="1">
        <v>90</v>
      </c>
    </row>
    <row r="752" spans="1:8" x14ac:dyDescent="0.25">
      <c r="A752" s="3" t="s">
        <v>318</v>
      </c>
      <c r="B752" s="1">
        <v>240</v>
      </c>
      <c r="C752" s="1">
        <v>38</v>
      </c>
      <c r="D752" s="1">
        <v>30</v>
      </c>
      <c r="E752" s="1">
        <v>41</v>
      </c>
      <c r="F752" s="1">
        <v>30</v>
      </c>
      <c r="G752" s="1">
        <v>41</v>
      </c>
      <c r="H752" s="1">
        <v>60</v>
      </c>
    </row>
    <row r="753" spans="1:8" x14ac:dyDescent="0.25">
      <c r="A753" s="3" t="s">
        <v>664</v>
      </c>
      <c r="B753" s="1">
        <v>510</v>
      </c>
      <c r="C753" s="1">
        <v>60</v>
      </c>
      <c r="D753" s="1">
        <v>105</v>
      </c>
      <c r="E753" s="1">
        <v>60</v>
      </c>
      <c r="F753" s="1">
        <v>120</v>
      </c>
      <c r="G753" s="1">
        <v>60</v>
      </c>
      <c r="H753" s="1">
        <v>105</v>
      </c>
    </row>
    <row r="754" spans="1:8" x14ac:dyDescent="0.25">
      <c r="A754" s="3" t="s">
        <v>663</v>
      </c>
      <c r="B754" s="1">
        <v>330</v>
      </c>
      <c r="C754" s="1">
        <v>40</v>
      </c>
      <c r="D754" s="1">
        <v>65</v>
      </c>
      <c r="E754" s="1">
        <v>40</v>
      </c>
      <c r="F754" s="1">
        <v>80</v>
      </c>
      <c r="G754" s="1">
        <v>40</v>
      </c>
      <c r="H754" s="1">
        <v>65</v>
      </c>
    </row>
    <row r="755" spans="1:8" x14ac:dyDescent="0.25">
      <c r="A755" s="3" t="s">
        <v>71</v>
      </c>
      <c r="B755" s="1">
        <v>245</v>
      </c>
      <c r="C755" s="1">
        <v>40</v>
      </c>
      <c r="D755" s="1">
        <v>45</v>
      </c>
      <c r="E755" s="1">
        <v>35</v>
      </c>
      <c r="F755" s="1">
        <v>30</v>
      </c>
      <c r="G755" s="1">
        <v>40</v>
      </c>
      <c r="H755" s="1">
        <v>55</v>
      </c>
    </row>
    <row r="756" spans="1:8" x14ac:dyDescent="0.25">
      <c r="A756" s="3" t="s">
        <v>727</v>
      </c>
      <c r="B756" s="1">
        <v>420</v>
      </c>
      <c r="C756" s="1">
        <v>72</v>
      </c>
      <c r="D756" s="1">
        <v>85</v>
      </c>
      <c r="E756" s="1">
        <v>70</v>
      </c>
      <c r="F756" s="1">
        <v>65</v>
      </c>
      <c r="G756" s="1">
        <v>70</v>
      </c>
      <c r="H756" s="1">
        <v>58</v>
      </c>
    </row>
    <row r="757" spans="1:8" x14ac:dyDescent="0.25">
      <c r="A757" s="3" t="s">
        <v>826</v>
      </c>
      <c r="B757" s="1">
        <v>600</v>
      </c>
      <c r="C757" s="1">
        <v>108</v>
      </c>
      <c r="D757" s="1">
        <v>100</v>
      </c>
      <c r="E757" s="1">
        <v>121</v>
      </c>
      <c r="F757" s="1">
        <v>81</v>
      </c>
      <c r="G757" s="1">
        <v>95</v>
      </c>
      <c r="H757" s="1">
        <v>95</v>
      </c>
    </row>
    <row r="758" spans="1:8" x14ac:dyDescent="0.25">
      <c r="A758" s="3" t="s">
        <v>833</v>
      </c>
      <c r="B758" s="1">
        <v>317400</v>
      </c>
      <c r="C758" s="1">
        <v>51485</v>
      </c>
      <c r="D758" s="1">
        <v>56984</v>
      </c>
      <c r="E758" s="1">
        <v>53794</v>
      </c>
      <c r="F758" s="1">
        <v>52614</v>
      </c>
      <c r="G758" s="1">
        <v>52596</v>
      </c>
      <c r="H758" s="1">
        <v>49927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1D798A-5B5C-49E9-ADE9-5535CD54CE08}">
          <x14:formula1>
            <xm:f>Pokemon!$A$2:$A$801</xm:f>
          </x14:formula1>
          <xm:sqref>K2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E88F-DACE-47F3-B7A7-20F1BF29728E}">
  <dimension ref="B2:J57"/>
  <sheetViews>
    <sheetView workbookViewId="0">
      <selection activeCell="F12" sqref="F12"/>
    </sheetView>
  </sheetViews>
  <sheetFormatPr defaultRowHeight="15" x14ac:dyDescent="0.25"/>
  <cols>
    <col min="2" max="2" width="28.7109375" bestFit="1" customWidth="1"/>
    <col min="3" max="3" width="8.7109375" bestFit="1" customWidth="1"/>
    <col min="4" max="4" width="10.28515625" bestFit="1" customWidth="1"/>
    <col min="5" max="5" width="13.42578125" bestFit="1" customWidth="1"/>
    <col min="6" max="6" width="15.5703125" bestFit="1" customWidth="1"/>
    <col min="7" max="7" width="14" bestFit="1" customWidth="1"/>
    <col min="8" max="8" width="14.42578125" bestFit="1" customWidth="1"/>
    <col min="9" max="9" width="13.5703125" bestFit="1" customWidth="1"/>
    <col min="10" max="10" width="18.140625" bestFit="1" customWidth="1"/>
    <col min="11" max="11" width="3.7109375" bestFit="1" customWidth="1"/>
    <col min="12" max="12" width="7.5703125" bestFit="1" customWidth="1"/>
    <col min="13" max="13" width="7.85546875" bestFit="1" customWidth="1"/>
    <col min="14" max="14" width="5.42578125" bestFit="1" customWidth="1"/>
    <col min="15" max="15" width="5.7109375" bestFit="1" customWidth="1"/>
    <col min="16" max="16" width="6.42578125" bestFit="1" customWidth="1"/>
    <col min="17" max="17" width="13.42578125" bestFit="1" customWidth="1"/>
    <col min="18" max="18" width="5.140625" bestFit="1" customWidth="1"/>
    <col min="19" max="19" width="7.42578125" bestFit="1" customWidth="1"/>
    <col min="20" max="20" width="7.85546875" bestFit="1" customWidth="1"/>
    <col min="21" max="21" width="8.140625" bestFit="1" customWidth="1"/>
    <col min="22" max="22" width="4.42578125" bestFit="1" customWidth="1"/>
    <col min="23" max="23" width="6.42578125" bestFit="1" customWidth="1"/>
    <col min="24" max="24" width="6.140625" bestFit="1" customWidth="1"/>
    <col min="25" max="25" width="4" bestFit="1" customWidth="1"/>
    <col min="26" max="26" width="7.5703125" bestFit="1" customWidth="1"/>
    <col min="27" max="27" width="7.85546875" bestFit="1" customWidth="1"/>
    <col min="28" max="28" width="5.42578125" bestFit="1" customWidth="1"/>
    <col min="29" max="29" width="5.7109375" bestFit="1" customWidth="1"/>
    <col min="30" max="30" width="6.42578125" bestFit="1" customWidth="1"/>
    <col min="31" max="31" width="15.5703125" bestFit="1" customWidth="1"/>
    <col min="32" max="32" width="5.140625" bestFit="1" customWidth="1"/>
    <col min="33" max="33" width="7.42578125" bestFit="1" customWidth="1"/>
    <col min="34" max="34" width="7.85546875" bestFit="1" customWidth="1"/>
    <col min="35" max="35" width="8.140625" bestFit="1" customWidth="1"/>
    <col min="36" max="36" width="4.42578125" bestFit="1" customWidth="1"/>
    <col min="37" max="37" width="6.42578125" bestFit="1" customWidth="1"/>
    <col min="38" max="38" width="6.140625" bestFit="1" customWidth="1"/>
    <col min="39" max="39" width="3.7109375" bestFit="1" customWidth="1"/>
    <col min="40" max="40" width="7.5703125" bestFit="1" customWidth="1"/>
    <col min="41" max="41" width="7.85546875" bestFit="1" customWidth="1"/>
    <col min="42" max="42" width="5.42578125" bestFit="1" customWidth="1"/>
    <col min="43" max="43" width="5.7109375" bestFit="1" customWidth="1"/>
    <col min="44" max="44" width="6.42578125" bestFit="1" customWidth="1"/>
    <col min="45" max="45" width="14" bestFit="1" customWidth="1"/>
    <col min="46" max="46" width="5.140625" bestFit="1" customWidth="1"/>
    <col min="47" max="47" width="7.42578125" bestFit="1" customWidth="1"/>
    <col min="48" max="48" width="7.85546875" bestFit="1" customWidth="1"/>
    <col min="49" max="49" width="8.140625" bestFit="1" customWidth="1"/>
    <col min="50" max="50" width="4.42578125" bestFit="1" customWidth="1"/>
    <col min="51" max="51" width="6.42578125" bestFit="1" customWidth="1"/>
    <col min="52" max="52" width="6.140625" bestFit="1" customWidth="1"/>
    <col min="53" max="53" width="4" bestFit="1" customWidth="1"/>
    <col min="54" max="54" width="7.5703125" bestFit="1" customWidth="1"/>
    <col min="55" max="55" width="7.85546875" bestFit="1" customWidth="1"/>
    <col min="56" max="56" width="5.42578125" bestFit="1" customWidth="1"/>
    <col min="57" max="57" width="5.7109375" bestFit="1" customWidth="1"/>
    <col min="58" max="58" width="6.42578125" bestFit="1" customWidth="1"/>
    <col min="59" max="59" width="14.42578125" bestFit="1" customWidth="1"/>
    <col min="60" max="60" width="5.140625" bestFit="1" customWidth="1"/>
    <col min="61" max="61" width="7.42578125" bestFit="1" customWidth="1"/>
    <col min="62" max="62" width="7.85546875" bestFit="1" customWidth="1"/>
    <col min="63" max="63" width="8.140625" bestFit="1" customWidth="1"/>
    <col min="64" max="64" width="4.42578125" bestFit="1" customWidth="1"/>
    <col min="65" max="65" width="6.42578125" bestFit="1" customWidth="1"/>
    <col min="66" max="66" width="6.140625" bestFit="1" customWidth="1"/>
    <col min="67" max="67" width="3.7109375" bestFit="1" customWidth="1"/>
    <col min="68" max="68" width="7.5703125" bestFit="1" customWidth="1"/>
    <col min="69" max="69" width="7.85546875" bestFit="1" customWidth="1"/>
    <col min="70" max="70" width="5.42578125" bestFit="1" customWidth="1"/>
    <col min="71" max="71" width="5.7109375" bestFit="1" customWidth="1"/>
    <col min="72" max="72" width="6.42578125" bestFit="1" customWidth="1"/>
    <col min="73" max="73" width="13.5703125" bestFit="1" customWidth="1"/>
    <col min="74" max="74" width="5.140625" bestFit="1" customWidth="1"/>
    <col min="75" max="75" width="7.42578125" bestFit="1" customWidth="1"/>
    <col min="76" max="76" width="7.85546875" bestFit="1" customWidth="1"/>
    <col min="77" max="77" width="8.140625" bestFit="1" customWidth="1"/>
    <col min="78" max="78" width="4.42578125" bestFit="1" customWidth="1"/>
    <col min="79" max="79" width="6.42578125" bestFit="1" customWidth="1"/>
    <col min="80" max="80" width="6.140625" bestFit="1" customWidth="1"/>
    <col min="81" max="81" width="4" bestFit="1" customWidth="1"/>
    <col min="82" max="82" width="7.5703125" bestFit="1" customWidth="1"/>
    <col min="83" max="83" width="7.85546875" bestFit="1" customWidth="1"/>
    <col min="84" max="84" width="5.42578125" bestFit="1" customWidth="1"/>
    <col min="85" max="85" width="5.7109375" bestFit="1" customWidth="1"/>
    <col min="86" max="86" width="6.42578125" bestFit="1" customWidth="1"/>
    <col min="87" max="87" width="18.140625" bestFit="1" customWidth="1"/>
    <col min="88" max="88" width="5.140625" bestFit="1" customWidth="1"/>
    <col min="89" max="89" width="7.42578125" bestFit="1" customWidth="1"/>
    <col min="90" max="90" width="7.85546875" bestFit="1" customWidth="1"/>
    <col min="91" max="91" width="8.140625" bestFit="1" customWidth="1"/>
    <col min="92" max="92" width="4.42578125" bestFit="1" customWidth="1"/>
    <col min="93" max="93" width="6.42578125" bestFit="1" customWidth="1"/>
    <col min="94" max="94" width="6.140625" bestFit="1" customWidth="1"/>
    <col min="95" max="95" width="3.7109375" bestFit="1" customWidth="1"/>
    <col min="96" max="96" width="7.5703125" bestFit="1" customWidth="1"/>
    <col min="97" max="97" width="7.85546875" bestFit="1" customWidth="1"/>
    <col min="98" max="98" width="5.42578125" bestFit="1" customWidth="1"/>
    <col min="99" max="99" width="5.7109375" bestFit="1" customWidth="1"/>
    <col min="100" max="100" width="6.42578125" bestFit="1" customWidth="1"/>
    <col min="101" max="101" width="15.28515625" bestFit="1" customWidth="1"/>
    <col min="102" max="102" width="18.42578125" bestFit="1" customWidth="1"/>
    <col min="103" max="103" width="20.5703125" bestFit="1" customWidth="1"/>
    <col min="104" max="104" width="19" bestFit="1" customWidth="1"/>
    <col min="105" max="105" width="19.42578125" bestFit="1" customWidth="1"/>
    <col min="106" max="106" width="18.5703125" bestFit="1" customWidth="1"/>
    <col min="107" max="107" width="23.140625" bestFit="1" customWidth="1"/>
    <col min="108" max="108" width="10.28515625" bestFit="1" customWidth="1"/>
    <col min="109" max="109" width="7.5703125" bestFit="1" customWidth="1"/>
    <col min="110" max="110" width="7.7109375" bestFit="1" customWidth="1"/>
    <col min="111" max="111" width="4.28515625" bestFit="1" customWidth="1"/>
    <col min="112" max="112" width="7.85546875" bestFit="1" customWidth="1"/>
    <col min="113" max="113" width="10.5703125" bestFit="1" customWidth="1"/>
    <col min="114" max="114" width="8.28515625" bestFit="1" customWidth="1"/>
    <col min="115" max="115" width="7.7109375" bestFit="1" customWidth="1"/>
    <col min="116" max="116" width="4.28515625" bestFit="1" customWidth="1"/>
    <col min="117" max="117" width="7.85546875" bestFit="1" customWidth="1"/>
    <col min="118" max="118" width="11.28515625" bestFit="1" customWidth="1"/>
    <col min="119" max="119" width="15.5703125" bestFit="1" customWidth="1"/>
    <col min="120" max="120" width="6.28515625" bestFit="1" customWidth="1"/>
    <col min="121" max="121" width="7.140625" bestFit="1" customWidth="1"/>
    <col min="122" max="122" width="5.7109375" bestFit="1" customWidth="1"/>
    <col min="123" max="123" width="9.140625" bestFit="1" customWidth="1"/>
    <col min="124" max="124" width="7" bestFit="1" customWidth="1"/>
    <col min="125" max="125" width="6.42578125" bestFit="1" customWidth="1"/>
    <col min="126" max="126" width="4.28515625" bestFit="1" customWidth="1"/>
    <col min="127" max="127" width="10" bestFit="1" customWidth="1"/>
    <col min="128" max="128" width="9.28515625" bestFit="1" customWidth="1"/>
    <col min="129" max="129" width="6.28515625" bestFit="1" customWidth="1"/>
    <col min="130" max="130" width="7.7109375" bestFit="1" customWidth="1"/>
    <col min="131" max="131" width="7.85546875" bestFit="1" customWidth="1"/>
    <col min="132" max="132" width="12.28515625" bestFit="1" customWidth="1"/>
    <col min="133" max="133" width="9.7109375" bestFit="1" customWidth="1"/>
    <col min="134" max="134" width="4.28515625" bestFit="1" customWidth="1"/>
    <col min="135" max="135" width="12.7109375" bestFit="1" customWidth="1"/>
    <col min="136" max="136" width="10" bestFit="1" customWidth="1"/>
    <col min="137" max="137" width="5.7109375" bestFit="1" customWidth="1"/>
    <col min="138" max="138" width="13.140625" bestFit="1" customWidth="1"/>
    <col min="139" max="139" width="7.42578125" bestFit="1" customWidth="1"/>
    <col min="140" max="140" width="8.140625" bestFit="1" customWidth="1"/>
    <col min="141" max="141" width="6.28515625" bestFit="1" customWidth="1"/>
    <col min="142" max="142" width="7.7109375" bestFit="1" customWidth="1"/>
    <col min="143" max="143" width="9.28515625" bestFit="1" customWidth="1"/>
    <col min="144" max="144" width="8.28515625" bestFit="1" customWidth="1"/>
    <col min="145" max="145" width="7.140625" bestFit="1" customWidth="1"/>
    <col min="146" max="146" width="11.28515625" bestFit="1" customWidth="1"/>
    <col min="147" max="147" width="8" bestFit="1" customWidth="1"/>
    <col min="148" max="148" width="4" bestFit="1" customWidth="1"/>
    <col min="149" max="149" width="4.28515625" bestFit="1" customWidth="1"/>
    <col min="150" max="150" width="7.140625" bestFit="1" customWidth="1"/>
    <col min="151" max="151" width="11" bestFit="1" customWidth="1"/>
    <col min="152" max="152" width="5.5703125" bestFit="1" customWidth="1"/>
    <col min="153" max="153" width="8.5703125" bestFit="1" customWidth="1"/>
    <col min="154" max="154" width="9.42578125" bestFit="1" customWidth="1"/>
    <col min="155" max="155" width="8.140625" bestFit="1" customWidth="1"/>
    <col min="156" max="156" width="6.28515625" bestFit="1" customWidth="1"/>
    <col min="157" max="157" width="4.28515625" bestFit="1" customWidth="1"/>
    <col min="158" max="158" width="12.42578125" bestFit="1" customWidth="1"/>
    <col min="159" max="159" width="9.7109375" bestFit="1" customWidth="1"/>
    <col min="160" max="160" width="8.140625" bestFit="1" customWidth="1"/>
    <col min="161" max="161" width="4.28515625" bestFit="1" customWidth="1"/>
    <col min="162" max="162" width="12.7109375" bestFit="1" customWidth="1"/>
    <col min="163" max="163" width="7.28515625" bestFit="1" customWidth="1"/>
    <col min="164" max="164" width="5.28515625" bestFit="1" customWidth="1"/>
    <col min="165" max="165" width="6.28515625" bestFit="1" customWidth="1"/>
    <col min="166" max="166" width="10.28515625" bestFit="1" customWidth="1"/>
    <col min="167" max="167" width="7.5703125" bestFit="1" customWidth="1"/>
    <col min="168" max="168" width="7.7109375" bestFit="1" customWidth="1"/>
    <col min="169" max="169" width="4.28515625" bestFit="1" customWidth="1"/>
    <col min="170" max="170" width="7.85546875" bestFit="1" customWidth="1"/>
    <col min="171" max="171" width="10.5703125" bestFit="1" customWidth="1"/>
    <col min="172" max="172" width="8.28515625" bestFit="1" customWidth="1"/>
    <col min="173" max="173" width="7.7109375" bestFit="1" customWidth="1"/>
    <col min="174" max="174" width="4.28515625" bestFit="1" customWidth="1"/>
    <col min="175" max="175" width="7.85546875" bestFit="1" customWidth="1"/>
    <col min="176" max="176" width="11.28515625" bestFit="1" customWidth="1"/>
    <col min="177" max="177" width="14" bestFit="1" customWidth="1"/>
    <col min="178" max="178" width="6.28515625" bestFit="1" customWidth="1"/>
    <col min="179" max="179" width="7.140625" bestFit="1" customWidth="1"/>
    <col min="180" max="180" width="5.7109375" bestFit="1" customWidth="1"/>
    <col min="181" max="181" width="9.140625" bestFit="1" customWidth="1"/>
    <col min="182" max="182" width="7" bestFit="1" customWidth="1"/>
    <col min="183" max="183" width="6.42578125" bestFit="1" customWidth="1"/>
    <col min="184" max="184" width="4.28515625" bestFit="1" customWidth="1"/>
    <col min="185" max="185" width="10" bestFit="1" customWidth="1"/>
    <col min="186" max="186" width="9.28515625" bestFit="1" customWidth="1"/>
    <col min="187" max="187" width="6.28515625" bestFit="1" customWidth="1"/>
    <col min="188" max="188" width="7.7109375" bestFit="1" customWidth="1"/>
    <col min="189" max="189" width="7.85546875" bestFit="1" customWidth="1"/>
    <col min="190" max="190" width="12.28515625" bestFit="1" customWidth="1"/>
    <col min="191" max="191" width="9.7109375" bestFit="1" customWidth="1"/>
    <col min="192" max="192" width="4.28515625" bestFit="1" customWidth="1"/>
    <col min="193" max="193" width="12.7109375" bestFit="1" customWidth="1"/>
    <col min="194" max="194" width="10" bestFit="1" customWidth="1"/>
    <col min="195" max="195" width="5.7109375" bestFit="1" customWidth="1"/>
    <col min="196" max="196" width="13.140625" bestFit="1" customWidth="1"/>
    <col min="197" max="197" width="7.42578125" bestFit="1" customWidth="1"/>
    <col min="198" max="198" width="8.140625" bestFit="1" customWidth="1"/>
    <col min="199" max="199" width="6.28515625" bestFit="1" customWidth="1"/>
    <col min="200" max="200" width="7.7109375" bestFit="1" customWidth="1"/>
    <col min="201" max="201" width="9.28515625" bestFit="1" customWidth="1"/>
    <col min="202" max="202" width="8.28515625" bestFit="1" customWidth="1"/>
    <col min="203" max="203" width="7.140625" bestFit="1" customWidth="1"/>
    <col min="204" max="204" width="11.28515625" bestFit="1" customWidth="1"/>
    <col min="205" max="205" width="8" bestFit="1" customWidth="1"/>
    <col min="206" max="206" width="4" bestFit="1" customWidth="1"/>
    <col min="207" max="207" width="4.28515625" bestFit="1" customWidth="1"/>
    <col min="208" max="208" width="7.140625" bestFit="1" customWidth="1"/>
    <col min="209" max="209" width="11" bestFit="1" customWidth="1"/>
    <col min="210" max="210" width="5.5703125" bestFit="1" customWidth="1"/>
    <col min="211" max="211" width="8.5703125" bestFit="1" customWidth="1"/>
    <col min="212" max="212" width="9.42578125" bestFit="1" customWidth="1"/>
    <col min="213" max="213" width="8.140625" bestFit="1" customWidth="1"/>
    <col min="214" max="214" width="6.28515625" bestFit="1" customWidth="1"/>
    <col min="215" max="215" width="4.28515625" bestFit="1" customWidth="1"/>
    <col min="216" max="216" width="12.42578125" bestFit="1" customWidth="1"/>
    <col min="217" max="217" width="9.7109375" bestFit="1" customWidth="1"/>
    <col min="218" max="218" width="8.140625" bestFit="1" customWidth="1"/>
    <col min="219" max="219" width="4.28515625" bestFit="1" customWidth="1"/>
    <col min="220" max="220" width="12.7109375" bestFit="1" customWidth="1"/>
    <col min="221" max="221" width="7.28515625" bestFit="1" customWidth="1"/>
    <col min="222" max="222" width="5.28515625" bestFit="1" customWidth="1"/>
    <col min="223" max="223" width="6.28515625" bestFit="1" customWidth="1"/>
    <col min="224" max="224" width="10.28515625" bestFit="1" customWidth="1"/>
    <col min="225" max="225" width="7.5703125" bestFit="1" customWidth="1"/>
    <col min="226" max="226" width="7.7109375" bestFit="1" customWidth="1"/>
    <col min="227" max="227" width="4.28515625" bestFit="1" customWidth="1"/>
    <col min="228" max="228" width="7.85546875" bestFit="1" customWidth="1"/>
    <col min="229" max="229" width="10.5703125" bestFit="1" customWidth="1"/>
    <col min="230" max="230" width="8.28515625" bestFit="1" customWidth="1"/>
    <col min="231" max="231" width="7.7109375" bestFit="1" customWidth="1"/>
    <col min="232" max="232" width="4.28515625" bestFit="1" customWidth="1"/>
    <col min="233" max="233" width="7.85546875" bestFit="1" customWidth="1"/>
    <col min="234" max="234" width="11.28515625" bestFit="1" customWidth="1"/>
    <col min="235" max="235" width="14.42578125" bestFit="1" customWidth="1"/>
    <col min="236" max="236" width="6.28515625" bestFit="1" customWidth="1"/>
    <col min="237" max="237" width="7.140625" bestFit="1" customWidth="1"/>
    <col min="238" max="238" width="5.7109375" bestFit="1" customWidth="1"/>
    <col min="239" max="239" width="9.140625" bestFit="1" customWidth="1"/>
    <col min="240" max="240" width="7" bestFit="1" customWidth="1"/>
    <col min="241" max="241" width="6.42578125" bestFit="1" customWidth="1"/>
    <col min="242" max="242" width="4.28515625" bestFit="1" customWidth="1"/>
    <col min="243" max="243" width="10" bestFit="1" customWidth="1"/>
    <col min="244" max="244" width="9.28515625" bestFit="1" customWidth="1"/>
    <col min="245" max="245" width="6.28515625" bestFit="1" customWidth="1"/>
    <col min="246" max="246" width="7.7109375" bestFit="1" customWidth="1"/>
    <col min="247" max="247" width="7.85546875" bestFit="1" customWidth="1"/>
    <col min="248" max="248" width="12.28515625" bestFit="1" customWidth="1"/>
    <col min="249" max="249" width="9.7109375" bestFit="1" customWidth="1"/>
    <col min="250" max="250" width="4.28515625" bestFit="1" customWidth="1"/>
    <col min="251" max="251" width="12.7109375" bestFit="1" customWidth="1"/>
    <col min="252" max="252" width="10" bestFit="1" customWidth="1"/>
    <col min="253" max="253" width="5.7109375" bestFit="1" customWidth="1"/>
    <col min="254" max="254" width="13.140625" bestFit="1" customWidth="1"/>
    <col min="255" max="255" width="7.42578125" bestFit="1" customWidth="1"/>
    <col min="256" max="256" width="8.140625" bestFit="1" customWidth="1"/>
    <col min="257" max="257" width="6.28515625" bestFit="1" customWidth="1"/>
    <col min="258" max="258" width="7.7109375" bestFit="1" customWidth="1"/>
    <col min="259" max="259" width="9.28515625" bestFit="1" customWidth="1"/>
    <col min="260" max="260" width="8.28515625" bestFit="1" customWidth="1"/>
    <col min="261" max="261" width="7.140625" bestFit="1" customWidth="1"/>
    <col min="262" max="262" width="11.28515625" bestFit="1" customWidth="1"/>
    <col min="263" max="263" width="8" bestFit="1" customWidth="1"/>
    <col min="264" max="264" width="4" bestFit="1" customWidth="1"/>
    <col min="265" max="265" width="4.28515625" bestFit="1" customWidth="1"/>
    <col min="266" max="266" width="7.140625" bestFit="1" customWidth="1"/>
    <col min="267" max="267" width="11" bestFit="1" customWidth="1"/>
    <col min="268" max="268" width="5.5703125" bestFit="1" customWidth="1"/>
    <col min="269" max="269" width="8.5703125" bestFit="1" customWidth="1"/>
    <col min="270" max="270" width="9.42578125" bestFit="1" customWidth="1"/>
    <col min="271" max="271" width="8.140625" bestFit="1" customWidth="1"/>
    <col min="272" max="272" width="6.28515625" bestFit="1" customWidth="1"/>
    <col min="273" max="273" width="4.28515625" bestFit="1" customWidth="1"/>
    <col min="274" max="274" width="12.42578125" bestFit="1" customWidth="1"/>
    <col min="275" max="275" width="9.7109375" bestFit="1" customWidth="1"/>
    <col min="276" max="276" width="8.140625" bestFit="1" customWidth="1"/>
    <col min="277" max="277" width="4.28515625" bestFit="1" customWidth="1"/>
    <col min="278" max="278" width="12.7109375" bestFit="1" customWidth="1"/>
    <col min="279" max="279" width="7.28515625" bestFit="1" customWidth="1"/>
    <col min="280" max="280" width="5.28515625" bestFit="1" customWidth="1"/>
    <col min="281" max="281" width="6.28515625" bestFit="1" customWidth="1"/>
    <col min="282" max="282" width="10.28515625" bestFit="1" customWidth="1"/>
    <col min="283" max="283" width="7.5703125" bestFit="1" customWidth="1"/>
    <col min="284" max="284" width="7.7109375" bestFit="1" customWidth="1"/>
    <col min="285" max="285" width="4.28515625" bestFit="1" customWidth="1"/>
    <col min="286" max="286" width="7.85546875" bestFit="1" customWidth="1"/>
    <col min="287" max="287" width="10.5703125" bestFit="1" customWidth="1"/>
    <col min="288" max="288" width="8.28515625" bestFit="1" customWidth="1"/>
    <col min="289" max="289" width="7.7109375" bestFit="1" customWidth="1"/>
    <col min="290" max="290" width="4.28515625" bestFit="1" customWidth="1"/>
    <col min="291" max="291" width="7.85546875" bestFit="1" customWidth="1"/>
    <col min="292" max="292" width="11.28515625" bestFit="1" customWidth="1"/>
    <col min="293" max="293" width="13.5703125" bestFit="1" customWidth="1"/>
    <col min="294" max="294" width="6.28515625" bestFit="1" customWidth="1"/>
    <col min="295" max="295" width="7.140625" bestFit="1" customWidth="1"/>
    <col min="296" max="296" width="5.7109375" bestFit="1" customWidth="1"/>
    <col min="297" max="297" width="9.140625" bestFit="1" customWidth="1"/>
    <col min="298" max="298" width="7" bestFit="1" customWidth="1"/>
    <col min="299" max="299" width="6.42578125" bestFit="1" customWidth="1"/>
    <col min="300" max="300" width="4.28515625" bestFit="1" customWidth="1"/>
    <col min="301" max="301" width="10" bestFit="1" customWidth="1"/>
    <col min="302" max="302" width="9.28515625" bestFit="1" customWidth="1"/>
    <col min="303" max="303" width="6.28515625" bestFit="1" customWidth="1"/>
    <col min="304" max="304" width="7.7109375" bestFit="1" customWidth="1"/>
    <col min="305" max="305" width="7.85546875" bestFit="1" customWidth="1"/>
    <col min="306" max="306" width="12.28515625" bestFit="1" customWidth="1"/>
    <col min="307" max="307" width="9.7109375" bestFit="1" customWidth="1"/>
    <col min="308" max="308" width="4.28515625" bestFit="1" customWidth="1"/>
    <col min="309" max="309" width="12.7109375" bestFit="1" customWidth="1"/>
    <col min="310" max="310" width="10" bestFit="1" customWidth="1"/>
    <col min="311" max="311" width="5.7109375" bestFit="1" customWidth="1"/>
    <col min="312" max="312" width="13.140625" bestFit="1" customWidth="1"/>
    <col min="313" max="313" width="7.42578125" bestFit="1" customWidth="1"/>
    <col min="314" max="314" width="8.140625" bestFit="1" customWidth="1"/>
    <col min="315" max="315" width="6.28515625" bestFit="1" customWidth="1"/>
    <col min="316" max="316" width="7.7109375" bestFit="1" customWidth="1"/>
    <col min="317" max="317" width="9.28515625" bestFit="1" customWidth="1"/>
    <col min="318" max="318" width="8.28515625" bestFit="1" customWidth="1"/>
    <col min="319" max="319" width="7.140625" bestFit="1" customWidth="1"/>
    <col min="320" max="320" width="11.28515625" bestFit="1" customWidth="1"/>
    <col min="321" max="321" width="8" bestFit="1" customWidth="1"/>
    <col min="322" max="322" width="3.7109375" bestFit="1" customWidth="1"/>
    <col min="323" max="323" width="4.28515625" bestFit="1" customWidth="1"/>
    <col min="324" max="324" width="7.140625" bestFit="1" customWidth="1"/>
    <col min="325" max="325" width="11" bestFit="1" customWidth="1"/>
    <col min="326" max="326" width="5.5703125" bestFit="1" customWidth="1"/>
    <col min="327" max="327" width="8.5703125" bestFit="1" customWidth="1"/>
    <col min="328" max="328" width="9.42578125" bestFit="1" customWidth="1"/>
    <col min="329" max="329" width="8.140625" bestFit="1" customWidth="1"/>
    <col min="330" max="330" width="6.28515625" bestFit="1" customWidth="1"/>
    <col min="331" max="331" width="4.28515625" bestFit="1" customWidth="1"/>
    <col min="332" max="332" width="12.42578125" bestFit="1" customWidth="1"/>
    <col min="333" max="333" width="9.7109375" bestFit="1" customWidth="1"/>
    <col min="334" max="334" width="8.140625" bestFit="1" customWidth="1"/>
    <col min="335" max="335" width="4.28515625" bestFit="1" customWidth="1"/>
    <col min="336" max="336" width="12.7109375" bestFit="1" customWidth="1"/>
    <col min="337" max="337" width="7.28515625" bestFit="1" customWidth="1"/>
    <col min="338" max="338" width="5.28515625" bestFit="1" customWidth="1"/>
    <col min="339" max="339" width="6.28515625" bestFit="1" customWidth="1"/>
    <col min="340" max="340" width="10.28515625" bestFit="1" customWidth="1"/>
    <col min="341" max="341" width="7.5703125" bestFit="1" customWidth="1"/>
    <col min="342" max="342" width="7.7109375" bestFit="1" customWidth="1"/>
    <col min="343" max="343" width="4.28515625" bestFit="1" customWidth="1"/>
    <col min="344" max="344" width="7.85546875" bestFit="1" customWidth="1"/>
    <col min="345" max="345" width="10.5703125" bestFit="1" customWidth="1"/>
    <col min="346" max="346" width="8.28515625" bestFit="1" customWidth="1"/>
    <col min="347" max="347" width="7.7109375" bestFit="1" customWidth="1"/>
    <col min="348" max="348" width="4.28515625" bestFit="1" customWidth="1"/>
    <col min="349" max="349" width="7.85546875" bestFit="1" customWidth="1"/>
    <col min="350" max="350" width="11.28515625" bestFit="1" customWidth="1"/>
    <col min="351" max="351" width="18.140625" bestFit="1" customWidth="1"/>
    <col min="352" max="352" width="6.28515625" bestFit="1" customWidth="1"/>
    <col min="353" max="353" width="7.140625" bestFit="1" customWidth="1"/>
    <col min="354" max="354" width="5.7109375" bestFit="1" customWidth="1"/>
    <col min="355" max="355" width="9.140625" bestFit="1" customWidth="1"/>
    <col min="356" max="356" width="7" bestFit="1" customWidth="1"/>
    <col min="357" max="357" width="6.42578125" bestFit="1" customWidth="1"/>
    <col min="358" max="358" width="4.28515625" bestFit="1" customWidth="1"/>
    <col min="359" max="359" width="10" bestFit="1" customWidth="1"/>
    <col min="360" max="360" width="9.28515625" bestFit="1" customWidth="1"/>
    <col min="361" max="361" width="6.28515625" bestFit="1" customWidth="1"/>
    <col min="362" max="362" width="7.7109375" bestFit="1" customWidth="1"/>
    <col min="363" max="363" width="7.85546875" bestFit="1" customWidth="1"/>
    <col min="364" max="364" width="12.28515625" bestFit="1" customWidth="1"/>
    <col min="365" max="365" width="9.7109375" bestFit="1" customWidth="1"/>
    <col min="366" max="366" width="4.28515625" bestFit="1" customWidth="1"/>
    <col min="367" max="367" width="12.7109375" bestFit="1" customWidth="1"/>
    <col min="368" max="368" width="10" bestFit="1" customWidth="1"/>
    <col min="369" max="369" width="5.7109375" bestFit="1" customWidth="1"/>
    <col min="370" max="370" width="13.140625" bestFit="1" customWidth="1"/>
    <col min="371" max="371" width="7.42578125" bestFit="1" customWidth="1"/>
    <col min="372" max="372" width="8.140625" bestFit="1" customWidth="1"/>
    <col min="373" max="373" width="6.28515625" bestFit="1" customWidth="1"/>
    <col min="374" max="374" width="7.7109375" bestFit="1" customWidth="1"/>
    <col min="375" max="375" width="9.28515625" bestFit="1" customWidth="1"/>
    <col min="376" max="376" width="8.28515625" bestFit="1" customWidth="1"/>
    <col min="377" max="377" width="7.140625" bestFit="1" customWidth="1"/>
    <col min="378" max="378" width="11.28515625" bestFit="1" customWidth="1"/>
    <col min="379" max="379" width="8" bestFit="1" customWidth="1"/>
    <col min="380" max="380" width="3.7109375" bestFit="1" customWidth="1"/>
    <col min="381" max="381" width="4.28515625" bestFit="1" customWidth="1"/>
    <col min="382" max="382" width="7.140625" bestFit="1" customWidth="1"/>
    <col min="383" max="383" width="11" bestFit="1" customWidth="1"/>
    <col min="384" max="384" width="5.5703125" bestFit="1" customWidth="1"/>
    <col min="385" max="385" width="8.5703125" bestFit="1" customWidth="1"/>
    <col min="386" max="386" width="9.42578125" bestFit="1" customWidth="1"/>
    <col min="387" max="387" width="8.140625" bestFit="1" customWidth="1"/>
    <col min="388" max="388" width="6.28515625" bestFit="1" customWidth="1"/>
    <col min="389" max="389" width="4.28515625" bestFit="1" customWidth="1"/>
    <col min="390" max="390" width="12.42578125" bestFit="1" customWidth="1"/>
    <col min="391" max="391" width="9.7109375" bestFit="1" customWidth="1"/>
    <col min="392" max="392" width="8.140625" bestFit="1" customWidth="1"/>
    <col min="393" max="393" width="4.28515625" bestFit="1" customWidth="1"/>
    <col min="394" max="394" width="12.7109375" bestFit="1" customWidth="1"/>
    <col min="395" max="395" width="7.28515625" bestFit="1" customWidth="1"/>
    <col min="396" max="396" width="5.28515625" bestFit="1" customWidth="1"/>
    <col min="397" max="397" width="6.28515625" bestFit="1" customWidth="1"/>
    <col min="398" max="398" width="10.28515625" bestFit="1" customWidth="1"/>
    <col min="399" max="399" width="7.5703125" bestFit="1" customWidth="1"/>
    <col min="400" max="400" width="7.7109375" bestFit="1" customWidth="1"/>
    <col min="401" max="401" width="4.28515625" bestFit="1" customWidth="1"/>
    <col min="402" max="402" width="7.85546875" bestFit="1" customWidth="1"/>
    <col min="403" max="403" width="10.5703125" bestFit="1" customWidth="1"/>
    <col min="404" max="404" width="8.28515625" bestFit="1" customWidth="1"/>
    <col min="405" max="405" width="7.7109375" bestFit="1" customWidth="1"/>
    <col min="406" max="406" width="4.28515625" bestFit="1" customWidth="1"/>
    <col min="407" max="407" width="7.85546875" bestFit="1" customWidth="1"/>
    <col min="408" max="408" width="11.28515625" bestFit="1" customWidth="1"/>
    <col min="409" max="409" width="15.28515625" bestFit="1" customWidth="1"/>
    <col min="410" max="410" width="18.42578125" bestFit="1" customWidth="1"/>
    <col min="411" max="411" width="20.5703125" bestFit="1" customWidth="1"/>
    <col min="412" max="412" width="19" bestFit="1" customWidth="1"/>
    <col min="413" max="413" width="19.42578125" bestFit="1" customWidth="1"/>
    <col min="414" max="414" width="18.5703125" bestFit="1" customWidth="1"/>
    <col min="415" max="415" width="23.140625" bestFit="1" customWidth="1"/>
    <col min="416" max="416" width="14" bestFit="1" customWidth="1"/>
    <col min="417" max="417" width="14.42578125" bestFit="1" customWidth="1"/>
    <col min="418" max="418" width="10.28515625" bestFit="1" customWidth="1"/>
    <col min="419" max="419" width="13.42578125" bestFit="1" customWidth="1"/>
    <col min="420" max="420" width="15.5703125" bestFit="1" customWidth="1"/>
    <col min="421" max="421" width="14" bestFit="1" customWidth="1"/>
    <col min="422" max="422" width="14.42578125" bestFit="1" customWidth="1"/>
    <col min="423" max="423" width="10.28515625" bestFit="1" customWidth="1"/>
    <col min="424" max="424" width="13.42578125" bestFit="1" customWidth="1"/>
    <col min="425" max="425" width="15.5703125" bestFit="1" customWidth="1"/>
    <col min="426" max="426" width="14" bestFit="1" customWidth="1"/>
    <col min="427" max="427" width="14.42578125" bestFit="1" customWidth="1"/>
    <col min="428" max="428" width="10.28515625" bestFit="1" customWidth="1"/>
    <col min="429" max="429" width="13.42578125" bestFit="1" customWidth="1"/>
    <col min="430" max="430" width="15.5703125" bestFit="1" customWidth="1"/>
    <col min="431" max="431" width="14" bestFit="1" customWidth="1"/>
    <col min="432" max="432" width="14.42578125" bestFit="1" customWidth="1"/>
    <col min="433" max="433" width="10.28515625" bestFit="1" customWidth="1"/>
    <col min="434" max="434" width="13.42578125" bestFit="1" customWidth="1"/>
    <col min="435" max="435" width="15.5703125" bestFit="1" customWidth="1"/>
    <col min="436" max="436" width="14" bestFit="1" customWidth="1"/>
    <col min="437" max="437" width="14.42578125" bestFit="1" customWidth="1"/>
    <col min="438" max="438" width="10.28515625" bestFit="1" customWidth="1"/>
    <col min="439" max="439" width="13.42578125" bestFit="1" customWidth="1"/>
    <col min="440" max="440" width="15.5703125" bestFit="1" customWidth="1"/>
    <col min="441" max="441" width="14" bestFit="1" customWidth="1"/>
    <col min="442" max="442" width="14.42578125" bestFit="1" customWidth="1"/>
    <col min="443" max="443" width="10.28515625" bestFit="1" customWidth="1"/>
    <col min="444" max="444" width="13.42578125" bestFit="1" customWidth="1"/>
    <col min="445" max="445" width="15.5703125" bestFit="1" customWidth="1"/>
    <col min="446" max="446" width="14" bestFit="1" customWidth="1"/>
    <col min="447" max="447" width="14.42578125" bestFit="1" customWidth="1"/>
    <col min="448" max="448" width="10.28515625" bestFit="1" customWidth="1"/>
    <col min="449" max="449" width="13.42578125" bestFit="1" customWidth="1"/>
    <col min="450" max="450" width="15.5703125" bestFit="1" customWidth="1"/>
    <col min="451" max="451" width="14" bestFit="1" customWidth="1"/>
    <col min="452" max="452" width="14.42578125" bestFit="1" customWidth="1"/>
    <col min="453" max="453" width="10.28515625" bestFit="1" customWidth="1"/>
    <col min="454" max="454" width="13.42578125" bestFit="1" customWidth="1"/>
    <col min="455" max="455" width="15.5703125" bestFit="1" customWidth="1"/>
    <col min="456" max="456" width="14" bestFit="1" customWidth="1"/>
    <col min="457" max="457" width="14.42578125" bestFit="1" customWidth="1"/>
    <col min="458" max="458" width="10.28515625" bestFit="1" customWidth="1"/>
    <col min="459" max="459" width="13.42578125" bestFit="1" customWidth="1"/>
    <col min="460" max="460" width="15.5703125" bestFit="1" customWidth="1"/>
    <col min="461" max="461" width="14" bestFit="1" customWidth="1"/>
    <col min="462" max="462" width="14.42578125" bestFit="1" customWidth="1"/>
    <col min="463" max="463" width="10.28515625" bestFit="1" customWidth="1"/>
    <col min="464" max="464" width="13.42578125" bestFit="1" customWidth="1"/>
    <col min="465" max="465" width="15.5703125" bestFit="1" customWidth="1"/>
    <col min="466" max="466" width="14" bestFit="1" customWidth="1"/>
    <col min="467" max="467" width="14.42578125" bestFit="1" customWidth="1"/>
    <col min="468" max="468" width="10.28515625" bestFit="1" customWidth="1"/>
    <col min="469" max="469" width="13.42578125" bestFit="1" customWidth="1"/>
    <col min="470" max="470" width="15.5703125" bestFit="1" customWidth="1"/>
    <col min="471" max="471" width="14" bestFit="1" customWidth="1"/>
    <col min="472" max="472" width="14.42578125" bestFit="1" customWidth="1"/>
    <col min="473" max="473" width="10.28515625" bestFit="1" customWidth="1"/>
    <col min="474" max="474" width="13.42578125" bestFit="1" customWidth="1"/>
    <col min="475" max="475" width="15.5703125" bestFit="1" customWidth="1"/>
    <col min="476" max="476" width="14" bestFit="1" customWidth="1"/>
    <col min="477" max="477" width="14.42578125" bestFit="1" customWidth="1"/>
    <col min="478" max="478" width="10.28515625" bestFit="1" customWidth="1"/>
    <col min="479" max="479" width="13.42578125" bestFit="1" customWidth="1"/>
    <col min="480" max="480" width="15.5703125" bestFit="1" customWidth="1"/>
    <col min="481" max="481" width="14" bestFit="1" customWidth="1"/>
    <col min="482" max="482" width="14.42578125" bestFit="1" customWidth="1"/>
    <col min="483" max="483" width="10.28515625" bestFit="1" customWidth="1"/>
    <col min="484" max="484" width="13.42578125" bestFit="1" customWidth="1"/>
    <col min="485" max="485" width="15.5703125" bestFit="1" customWidth="1"/>
    <col min="486" max="486" width="14" bestFit="1" customWidth="1"/>
    <col min="487" max="487" width="14.42578125" bestFit="1" customWidth="1"/>
    <col min="488" max="488" width="10.28515625" bestFit="1" customWidth="1"/>
    <col min="489" max="489" width="13.42578125" bestFit="1" customWidth="1"/>
    <col min="490" max="490" width="15.5703125" bestFit="1" customWidth="1"/>
    <col min="491" max="491" width="14" bestFit="1" customWidth="1"/>
    <col min="492" max="492" width="14.42578125" bestFit="1" customWidth="1"/>
    <col min="493" max="493" width="10.28515625" bestFit="1" customWidth="1"/>
    <col min="494" max="494" width="13.42578125" bestFit="1" customWidth="1"/>
    <col min="495" max="495" width="15.5703125" bestFit="1" customWidth="1"/>
    <col min="496" max="496" width="14" bestFit="1" customWidth="1"/>
    <col min="497" max="497" width="14.42578125" bestFit="1" customWidth="1"/>
    <col min="498" max="498" width="10.28515625" bestFit="1" customWidth="1"/>
    <col min="499" max="499" width="13.42578125" bestFit="1" customWidth="1"/>
    <col min="500" max="500" width="15.5703125" bestFit="1" customWidth="1"/>
    <col min="501" max="501" width="14" bestFit="1" customWidth="1"/>
    <col min="502" max="502" width="14.42578125" bestFit="1" customWidth="1"/>
    <col min="503" max="503" width="10.28515625" bestFit="1" customWidth="1"/>
    <col min="504" max="504" width="13.42578125" bestFit="1" customWidth="1"/>
    <col min="505" max="505" width="15.5703125" bestFit="1" customWidth="1"/>
    <col min="506" max="506" width="14" bestFit="1" customWidth="1"/>
    <col min="507" max="507" width="14.42578125" bestFit="1" customWidth="1"/>
    <col min="508" max="508" width="10.28515625" bestFit="1" customWidth="1"/>
    <col min="509" max="509" width="13.42578125" bestFit="1" customWidth="1"/>
    <col min="510" max="510" width="15.5703125" bestFit="1" customWidth="1"/>
    <col min="511" max="511" width="14" bestFit="1" customWidth="1"/>
    <col min="512" max="512" width="14.42578125" bestFit="1" customWidth="1"/>
    <col min="513" max="513" width="10.28515625" bestFit="1" customWidth="1"/>
    <col min="514" max="514" width="13.42578125" bestFit="1" customWidth="1"/>
    <col min="515" max="515" width="15.5703125" bestFit="1" customWidth="1"/>
    <col min="516" max="516" width="14" bestFit="1" customWidth="1"/>
    <col min="517" max="517" width="14.42578125" bestFit="1" customWidth="1"/>
    <col min="518" max="518" width="10.28515625" bestFit="1" customWidth="1"/>
    <col min="519" max="519" width="13.42578125" bestFit="1" customWidth="1"/>
    <col min="520" max="520" width="15.5703125" bestFit="1" customWidth="1"/>
    <col min="521" max="521" width="14" bestFit="1" customWidth="1"/>
    <col min="522" max="522" width="14.42578125" bestFit="1" customWidth="1"/>
    <col min="523" max="523" width="10.28515625" bestFit="1" customWidth="1"/>
    <col min="524" max="524" width="13.42578125" bestFit="1" customWidth="1"/>
    <col min="525" max="525" width="15.5703125" bestFit="1" customWidth="1"/>
    <col min="526" max="526" width="14" bestFit="1" customWidth="1"/>
    <col min="527" max="527" width="14.42578125" bestFit="1" customWidth="1"/>
    <col min="528" max="528" width="10.28515625" bestFit="1" customWidth="1"/>
    <col min="529" max="529" width="13.42578125" bestFit="1" customWidth="1"/>
    <col min="530" max="530" width="15.5703125" bestFit="1" customWidth="1"/>
    <col min="531" max="531" width="14" bestFit="1" customWidth="1"/>
    <col min="532" max="532" width="14.42578125" bestFit="1" customWidth="1"/>
    <col min="533" max="533" width="10.28515625" bestFit="1" customWidth="1"/>
    <col min="534" max="534" width="13.42578125" bestFit="1" customWidth="1"/>
    <col min="535" max="535" width="15.5703125" bestFit="1" customWidth="1"/>
    <col min="536" max="536" width="14" bestFit="1" customWidth="1"/>
    <col min="537" max="537" width="14.42578125" bestFit="1" customWidth="1"/>
    <col min="538" max="538" width="10.28515625" bestFit="1" customWidth="1"/>
    <col min="539" max="539" width="13.42578125" bestFit="1" customWidth="1"/>
    <col min="540" max="540" width="15.5703125" bestFit="1" customWidth="1"/>
    <col min="541" max="541" width="14" bestFit="1" customWidth="1"/>
    <col min="542" max="542" width="14.42578125" bestFit="1" customWidth="1"/>
    <col min="543" max="543" width="10.28515625" bestFit="1" customWidth="1"/>
    <col min="544" max="544" width="13.42578125" bestFit="1" customWidth="1"/>
    <col min="545" max="545" width="15.5703125" bestFit="1" customWidth="1"/>
    <col min="546" max="546" width="14" bestFit="1" customWidth="1"/>
    <col min="547" max="547" width="14.42578125" bestFit="1" customWidth="1"/>
    <col min="548" max="548" width="10.28515625" bestFit="1" customWidth="1"/>
    <col min="549" max="549" width="13.42578125" bestFit="1" customWidth="1"/>
    <col min="550" max="550" width="15.5703125" bestFit="1" customWidth="1"/>
    <col min="551" max="551" width="14" bestFit="1" customWidth="1"/>
    <col min="552" max="552" width="14.42578125" bestFit="1" customWidth="1"/>
    <col min="553" max="553" width="10.28515625" bestFit="1" customWidth="1"/>
    <col min="554" max="554" width="13.42578125" bestFit="1" customWidth="1"/>
    <col min="555" max="555" width="15.5703125" bestFit="1" customWidth="1"/>
    <col min="556" max="556" width="14" bestFit="1" customWidth="1"/>
    <col min="557" max="557" width="14.42578125" bestFit="1" customWidth="1"/>
    <col min="558" max="558" width="10.28515625" bestFit="1" customWidth="1"/>
    <col min="559" max="559" width="13.42578125" bestFit="1" customWidth="1"/>
    <col min="560" max="560" width="15.5703125" bestFit="1" customWidth="1"/>
    <col min="561" max="561" width="14" bestFit="1" customWidth="1"/>
    <col min="562" max="562" width="14.42578125" bestFit="1" customWidth="1"/>
    <col min="563" max="563" width="10.28515625" bestFit="1" customWidth="1"/>
    <col min="564" max="564" width="13.42578125" bestFit="1" customWidth="1"/>
    <col min="565" max="565" width="15.5703125" bestFit="1" customWidth="1"/>
    <col min="566" max="566" width="14" bestFit="1" customWidth="1"/>
    <col min="567" max="567" width="14.42578125" bestFit="1" customWidth="1"/>
    <col min="568" max="568" width="10.28515625" bestFit="1" customWidth="1"/>
    <col min="569" max="569" width="13.42578125" bestFit="1" customWidth="1"/>
    <col min="570" max="570" width="15.5703125" bestFit="1" customWidth="1"/>
    <col min="571" max="571" width="14" bestFit="1" customWidth="1"/>
    <col min="572" max="572" width="14.42578125" bestFit="1" customWidth="1"/>
    <col min="573" max="573" width="10.28515625" bestFit="1" customWidth="1"/>
    <col min="574" max="574" width="13.42578125" bestFit="1" customWidth="1"/>
    <col min="575" max="575" width="15.5703125" bestFit="1" customWidth="1"/>
    <col min="576" max="576" width="14" bestFit="1" customWidth="1"/>
    <col min="577" max="577" width="14.42578125" bestFit="1" customWidth="1"/>
    <col min="578" max="578" width="10.28515625" bestFit="1" customWidth="1"/>
    <col min="579" max="579" width="13.42578125" bestFit="1" customWidth="1"/>
    <col min="580" max="580" width="15.5703125" bestFit="1" customWidth="1"/>
    <col min="581" max="581" width="14" bestFit="1" customWidth="1"/>
    <col min="582" max="582" width="14.42578125" bestFit="1" customWidth="1"/>
    <col min="583" max="583" width="10.28515625" bestFit="1" customWidth="1"/>
    <col min="584" max="584" width="13.42578125" bestFit="1" customWidth="1"/>
    <col min="585" max="585" width="15.5703125" bestFit="1" customWidth="1"/>
    <col min="586" max="586" width="14" bestFit="1" customWidth="1"/>
    <col min="587" max="587" width="14.42578125" bestFit="1" customWidth="1"/>
    <col min="588" max="588" width="10.28515625" bestFit="1" customWidth="1"/>
    <col min="589" max="589" width="13.42578125" bestFit="1" customWidth="1"/>
    <col min="590" max="590" width="15.5703125" bestFit="1" customWidth="1"/>
    <col min="591" max="591" width="14" bestFit="1" customWidth="1"/>
    <col min="592" max="592" width="14.42578125" bestFit="1" customWidth="1"/>
    <col min="593" max="593" width="10.28515625" bestFit="1" customWidth="1"/>
    <col min="594" max="594" width="13.42578125" bestFit="1" customWidth="1"/>
    <col min="595" max="595" width="15.5703125" bestFit="1" customWidth="1"/>
    <col min="596" max="596" width="14" bestFit="1" customWidth="1"/>
    <col min="597" max="597" width="14.42578125" bestFit="1" customWidth="1"/>
    <col min="598" max="598" width="10.28515625" bestFit="1" customWidth="1"/>
    <col min="599" max="599" width="13.42578125" bestFit="1" customWidth="1"/>
    <col min="600" max="600" width="15.5703125" bestFit="1" customWidth="1"/>
    <col min="601" max="601" width="14" bestFit="1" customWidth="1"/>
    <col min="602" max="602" width="14.42578125" bestFit="1" customWidth="1"/>
    <col min="603" max="603" width="10.28515625" bestFit="1" customWidth="1"/>
    <col min="604" max="604" width="13.42578125" bestFit="1" customWidth="1"/>
    <col min="605" max="605" width="15.5703125" bestFit="1" customWidth="1"/>
    <col min="606" max="606" width="14" bestFit="1" customWidth="1"/>
    <col min="607" max="607" width="14.42578125" bestFit="1" customWidth="1"/>
    <col min="608" max="608" width="10.28515625" bestFit="1" customWidth="1"/>
    <col min="609" max="609" width="13.42578125" bestFit="1" customWidth="1"/>
    <col min="610" max="610" width="15.5703125" bestFit="1" customWidth="1"/>
    <col min="611" max="611" width="14" bestFit="1" customWidth="1"/>
    <col min="612" max="612" width="14.42578125" bestFit="1" customWidth="1"/>
    <col min="613" max="613" width="10.28515625" bestFit="1" customWidth="1"/>
    <col min="614" max="614" width="13.42578125" bestFit="1" customWidth="1"/>
    <col min="615" max="615" width="15.5703125" bestFit="1" customWidth="1"/>
    <col min="616" max="616" width="14" bestFit="1" customWidth="1"/>
    <col min="617" max="617" width="14.42578125" bestFit="1" customWidth="1"/>
    <col min="618" max="618" width="10.28515625" bestFit="1" customWidth="1"/>
    <col min="619" max="619" width="13.42578125" bestFit="1" customWidth="1"/>
    <col min="620" max="620" width="15.5703125" bestFit="1" customWidth="1"/>
    <col min="621" max="621" width="14" bestFit="1" customWidth="1"/>
    <col min="622" max="622" width="14.42578125" bestFit="1" customWidth="1"/>
    <col min="623" max="623" width="10.28515625" bestFit="1" customWidth="1"/>
    <col min="624" max="624" width="13.42578125" bestFit="1" customWidth="1"/>
    <col min="625" max="625" width="15.5703125" bestFit="1" customWidth="1"/>
    <col min="626" max="626" width="14" bestFit="1" customWidth="1"/>
    <col min="627" max="627" width="14.42578125" bestFit="1" customWidth="1"/>
    <col min="628" max="628" width="10.28515625" bestFit="1" customWidth="1"/>
    <col min="629" max="629" width="13.42578125" bestFit="1" customWidth="1"/>
    <col min="630" max="630" width="15.5703125" bestFit="1" customWidth="1"/>
    <col min="631" max="631" width="14" bestFit="1" customWidth="1"/>
    <col min="632" max="632" width="14.42578125" bestFit="1" customWidth="1"/>
    <col min="633" max="633" width="10.28515625" bestFit="1" customWidth="1"/>
    <col min="634" max="634" width="13.42578125" bestFit="1" customWidth="1"/>
    <col min="635" max="635" width="15.5703125" bestFit="1" customWidth="1"/>
    <col min="636" max="636" width="14" bestFit="1" customWidth="1"/>
    <col min="637" max="637" width="14.42578125" bestFit="1" customWidth="1"/>
    <col min="638" max="638" width="10.28515625" bestFit="1" customWidth="1"/>
    <col min="639" max="639" width="13.42578125" bestFit="1" customWidth="1"/>
    <col min="640" max="640" width="15.5703125" bestFit="1" customWidth="1"/>
    <col min="641" max="641" width="14" bestFit="1" customWidth="1"/>
    <col min="642" max="642" width="14.42578125" bestFit="1" customWidth="1"/>
    <col min="643" max="643" width="10.28515625" bestFit="1" customWidth="1"/>
    <col min="644" max="644" width="13.42578125" bestFit="1" customWidth="1"/>
    <col min="645" max="645" width="15.5703125" bestFit="1" customWidth="1"/>
    <col min="646" max="646" width="14" bestFit="1" customWidth="1"/>
    <col min="647" max="647" width="14.42578125" bestFit="1" customWidth="1"/>
    <col min="648" max="648" width="10.28515625" bestFit="1" customWidth="1"/>
    <col min="649" max="649" width="13.42578125" bestFit="1" customWidth="1"/>
    <col min="650" max="650" width="15.5703125" bestFit="1" customWidth="1"/>
    <col min="651" max="651" width="14" bestFit="1" customWidth="1"/>
    <col min="652" max="652" width="14.42578125" bestFit="1" customWidth="1"/>
    <col min="653" max="653" width="10.28515625" bestFit="1" customWidth="1"/>
    <col min="654" max="654" width="13.42578125" bestFit="1" customWidth="1"/>
    <col min="655" max="655" width="15.5703125" bestFit="1" customWidth="1"/>
    <col min="656" max="656" width="14" bestFit="1" customWidth="1"/>
    <col min="657" max="657" width="14.42578125" bestFit="1" customWidth="1"/>
    <col min="658" max="658" width="10.28515625" bestFit="1" customWidth="1"/>
    <col min="659" max="659" width="13.42578125" bestFit="1" customWidth="1"/>
    <col min="660" max="660" width="15.5703125" bestFit="1" customWidth="1"/>
    <col min="661" max="661" width="14" bestFit="1" customWidth="1"/>
    <col min="662" max="662" width="14.42578125" bestFit="1" customWidth="1"/>
    <col min="663" max="663" width="10.28515625" bestFit="1" customWidth="1"/>
    <col min="664" max="664" width="13.42578125" bestFit="1" customWidth="1"/>
    <col min="665" max="665" width="15.5703125" bestFit="1" customWidth="1"/>
    <col min="666" max="666" width="14" bestFit="1" customWidth="1"/>
    <col min="667" max="667" width="14.42578125" bestFit="1" customWidth="1"/>
    <col min="668" max="668" width="10.28515625" bestFit="1" customWidth="1"/>
    <col min="669" max="669" width="13.42578125" bestFit="1" customWidth="1"/>
    <col min="670" max="670" width="15.5703125" bestFit="1" customWidth="1"/>
    <col min="671" max="671" width="14" bestFit="1" customWidth="1"/>
    <col min="672" max="672" width="14.42578125" bestFit="1" customWidth="1"/>
    <col min="673" max="673" width="10.28515625" bestFit="1" customWidth="1"/>
    <col min="674" max="674" width="13.42578125" bestFit="1" customWidth="1"/>
    <col min="675" max="675" width="15.5703125" bestFit="1" customWidth="1"/>
    <col min="676" max="676" width="14" bestFit="1" customWidth="1"/>
    <col min="677" max="677" width="14.42578125" bestFit="1" customWidth="1"/>
    <col min="678" max="678" width="10.28515625" bestFit="1" customWidth="1"/>
    <col min="679" max="679" width="13.42578125" bestFit="1" customWidth="1"/>
    <col min="680" max="680" width="15.5703125" bestFit="1" customWidth="1"/>
    <col min="681" max="681" width="14" bestFit="1" customWidth="1"/>
    <col min="682" max="682" width="14.42578125" bestFit="1" customWidth="1"/>
    <col min="683" max="683" width="10.28515625" bestFit="1" customWidth="1"/>
    <col min="684" max="684" width="13.42578125" bestFit="1" customWidth="1"/>
    <col min="685" max="685" width="15.5703125" bestFit="1" customWidth="1"/>
    <col min="686" max="686" width="14" bestFit="1" customWidth="1"/>
    <col min="687" max="687" width="14.42578125" bestFit="1" customWidth="1"/>
    <col min="688" max="688" width="10.28515625" bestFit="1" customWidth="1"/>
    <col min="689" max="689" width="13.42578125" bestFit="1" customWidth="1"/>
    <col min="690" max="690" width="15.5703125" bestFit="1" customWidth="1"/>
    <col min="691" max="691" width="14" bestFit="1" customWidth="1"/>
    <col min="692" max="692" width="14.42578125" bestFit="1" customWidth="1"/>
    <col min="693" max="693" width="10.28515625" bestFit="1" customWidth="1"/>
    <col min="694" max="694" width="13.42578125" bestFit="1" customWidth="1"/>
    <col min="695" max="695" width="15.5703125" bestFit="1" customWidth="1"/>
    <col min="696" max="696" width="14" bestFit="1" customWidth="1"/>
    <col min="697" max="697" width="14.42578125" bestFit="1" customWidth="1"/>
    <col min="698" max="698" width="10.28515625" bestFit="1" customWidth="1"/>
    <col min="699" max="699" width="13.42578125" bestFit="1" customWidth="1"/>
    <col min="700" max="700" width="15.5703125" bestFit="1" customWidth="1"/>
    <col min="701" max="701" width="14" bestFit="1" customWidth="1"/>
    <col min="702" max="702" width="14.42578125" bestFit="1" customWidth="1"/>
    <col min="703" max="703" width="10.28515625" bestFit="1" customWidth="1"/>
    <col min="704" max="704" width="13.42578125" bestFit="1" customWidth="1"/>
    <col min="705" max="705" width="15.5703125" bestFit="1" customWidth="1"/>
    <col min="706" max="706" width="14" bestFit="1" customWidth="1"/>
    <col min="707" max="707" width="14.42578125" bestFit="1" customWidth="1"/>
    <col min="708" max="708" width="10.28515625" bestFit="1" customWidth="1"/>
    <col min="709" max="709" width="13.42578125" bestFit="1" customWidth="1"/>
    <col min="710" max="710" width="15.5703125" bestFit="1" customWidth="1"/>
    <col min="711" max="711" width="14" bestFit="1" customWidth="1"/>
    <col min="712" max="712" width="14.42578125" bestFit="1" customWidth="1"/>
    <col min="713" max="713" width="10.28515625" bestFit="1" customWidth="1"/>
    <col min="714" max="714" width="13.42578125" bestFit="1" customWidth="1"/>
    <col min="715" max="715" width="15.5703125" bestFit="1" customWidth="1"/>
    <col min="716" max="716" width="14" bestFit="1" customWidth="1"/>
    <col min="717" max="717" width="14.42578125" bestFit="1" customWidth="1"/>
    <col min="718" max="718" width="10.28515625" bestFit="1" customWidth="1"/>
    <col min="719" max="719" width="13.42578125" bestFit="1" customWidth="1"/>
    <col min="720" max="720" width="15.5703125" bestFit="1" customWidth="1"/>
    <col min="721" max="721" width="14" bestFit="1" customWidth="1"/>
    <col min="722" max="722" width="14.42578125" bestFit="1" customWidth="1"/>
    <col min="723" max="723" width="10.28515625" bestFit="1" customWidth="1"/>
    <col min="724" max="724" width="13.42578125" bestFit="1" customWidth="1"/>
    <col min="725" max="725" width="15.5703125" bestFit="1" customWidth="1"/>
    <col min="726" max="726" width="14" bestFit="1" customWidth="1"/>
    <col min="727" max="727" width="14.42578125" bestFit="1" customWidth="1"/>
    <col min="728" max="728" width="10.28515625" bestFit="1" customWidth="1"/>
    <col min="729" max="729" width="13.42578125" bestFit="1" customWidth="1"/>
    <col min="730" max="730" width="15.5703125" bestFit="1" customWidth="1"/>
    <col min="731" max="731" width="14" bestFit="1" customWidth="1"/>
    <col min="732" max="732" width="14.42578125" bestFit="1" customWidth="1"/>
    <col min="733" max="733" width="10.28515625" bestFit="1" customWidth="1"/>
    <col min="734" max="734" width="13.42578125" bestFit="1" customWidth="1"/>
    <col min="735" max="735" width="15.5703125" bestFit="1" customWidth="1"/>
    <col min="736" max="736" width="14" bestFit="1" customWidth="1"/>
    <col min="737" max="737" width="14.42578125" bestFit="1" customWidth="1"/>
    <col min="738" max="738" width="10.28515625" bestFit="1" customWidth="1"/>
    <col min="739" max="739" width="13.42578125" bestFit="1" customWidth="1"/>
    <col min="740" max="740" width="15.5703125" bestFit="1" customWidth="1"/>
    <col min="741" max="741" width="14" bestFit="1" customWidth="1"/>
    <col min="742" max="742" width="14.42578125" bestFit="1" customWidth="1"/>
    <col min="743" max="743" width="10.28515625" bestFit="1" customWidth="1"/>
    <col min="744" max="744" width="13.42578125" bestFit="1" customWidth="1"/>
    <col min="745" max="745" width="15.5703125" bestFit="1" customWidth="1"/>
    <col min="746" max="746" width="14" bestFit="1" customWidth="1"/>
    <col min="747" max="747" width="14.42578125" bestFit="1" customWidth="1"/>
    <col min="748" max="748" width="10.28515625" bestFit="1" customWidth="1"/>
    <col min="749" max="749" width="13.42578125" bestFit="1" customWidth="1"/>
    <col min="750" max="750" width="15.5703125" bestFit="1" customWidth="1"/>
    <col min="751" max="751" width="14" bestFit="1" customWidth="1"/>
    <col min="752" max="752" width="14.42578125" bestFit="1" customWidth="1"/>
    <col min="753" max="753" width="10.28515625" bestFit="1" customWidth="1"/>
    <col min="754" max="754" width="13.42578125" bestFit="1" customWidth="1"/>
    <col min="755" max="755" width="15.5703125" bestFit="1" customWidth="1"/>
    <col min="756" max="756" width="14" bestFit="1" customWidth="1"/>
    <col min="757" max="757" width="14.42578125" bestFit="1" customWidth="1"/>
    <col min="758" max="758" width="10.28515625" bestFit="1" customWidth="1"/>
    <col min="759" max="759" width="13.42578125" bestFit="1" customWidth="1"/>
    <col min="760" max="760" width="15.5703125" bestFit="1" customWidth="1"/>
    <col min="761" max="761" width="14" bestFit="1" customWidth="1"/>
    <col min="762" max="762" width="14.42578125" bestFit="1" customWidth="1"/>
    <col min="763" max="763" width="10.28515625" bestFit="1" customWidth="1"/>
    <col min="764" max="764" width="13.42578125" bestFit="1" customWidth="1"/>
    <col min="765" max="765" width="15.5703125" bestFit="1" customWidth="1"/>
    <col min="766" max="766" width="14" bestFit="1" customWidth="1"/>
    <col min="767" max="767" width="14.42578125" bestFit="1" customWidth="1"/>
    <col min="768" max="768" width="10.28515625" bestFit="1" customWidth="1"/>
    <col min="769" max="769" width="13.42578125" bestFit="1" customWidth="1"/>
    <col min="770" max="770" width="15.5703125" bestFit="1" customWidth="1"/>
    <col min="771" max="771" width="14" bestFit="1" customWidth="1"/>
    <col min="772" max="772" width="14.42578125" bestFit="1" customWidth="1"/>
    <col min="773" max="773" width="10.28515625" bestFit="1" customWidth="1"/>
    <col min="774" max="774" width="13.42578125" bestFit="1" customWidth="1"/>
    <col min="775" max="775" width="15.5703125" bestFit="1" customWidth="1"/>
    <col min="776" max="776" width="14" bestFit="1" customWidth="1"/>
    <col min="777" max="777" width="14.42578125" bestFit="1" customWidth="1"/>
    <col min="778" max="778" width="10.28515625" bestFit="1" customWidth="1"/>
    <col min="779" max="779" width="13.42578125" bestFit="1" customWidth="1"/>
    <col min="780" max="780" width="15.5703125" bestFit="1" customWidth="1"/>
    <col min="781" max="781" width="14" bestFit="1" customWidth="1"/>
    <col min="782" max="782" width="14.42578125" bestFit="1" customWidth="1"/>
    <col min="783" max="783" width="10.28515625" bestFit="1" customWidth="1"/>
    <col min="784" max="784" width="13.42578125" bestFit="1" customWidth="1"/>
    <col min="785" max="785" width="15.5703125" bestFit="1" customWidth="1"/>
    <col min="786" max="786" width="14" bestFit="1" customWidth="1"/>
    <col min="787" max="787" width="14.42578125" bestFit="1" customWidth="1"/>
    <col min="788" max="788" width="10.28515625" bestFit="1" customWidth="1"/>
    <col min="789" max="789" width="13.42578125" bestFit="1" customWidth="1"/>
    <col min="790" max="790" width="15.5703125" bestFit="1" customWidth="1"/>
    <col min="791" max="791" width="14" bestFit="1" customWidth="1"/>
    <col min="792" max="792" width="14.42578125" bestFit="1" customWidth="1"/>
    <col min="793" max="793" width="10.28515625" bestFit="1" customWidth="1"/>
    <col min="794" max="794" width="13.42578125" bestFit="1" customWidth="1"/>
    <col min="795" max="795" width="15.5703125" bestFit="1" customWidth="1"/>
    <col min="796" max="796" width="14" bestFit="1" customWidth="1"/>
    <col min="797" max="797" width="14.42578125" bestFit="1" customWidth="1"/>
    <col min="798" max="798" width="10.28515625" bestFit="1" customWidth="1"/>
    <col min="799" max="799" width="13.42578125" bestFit="1" customWidth="1"/>
    <col min="800" max="800" width="15.5703125" bestFit="1" customWidth="1"/>
    <col min="801" max="801" width="14" bestFit="1" customWidth="1"/>
    <col min="802" max="802" width="14.42578125" bestFit="1" customWidth="1"/>
    <col min="803" max="803" width="10.28515625" bestFit="1" customWidth="1"/>
    <col min="804" max="804" width="13.42578125" bestFit="1" customWidth="1"/>
    <col min="805" max="805" width="15.5703125" bestFit="1" customWidth="1"/>
    <col min="806" max="806" width="14" bestFit="1" customWidth="1"/>
    <col min="807" max="807" width="14.42578125" bestFit="1" customWidth="1"/>
    <col min="808" max="808" width="10.28515625" bestFit="1" customWidth="1"/>
    <col min="809" max="809" width="13.42578125" bestFit="1" customWidth="1"/>
    <col min="810" max="810" width="15.5703125" bestFit="1" customWidth="1"/>
    <col min="811" max="811" width="14" bestFit="1" customWidth="1"/>
    <col min="812" max="812" width="14.42578125" bestFit="1" customWidth="1"/>
    <col min="813" max="813" width="10.28515625" bestFit="1" customWidth="1"/>
    <col min="814" max="814" width="13.42578125" bestFit="1" customWidth="1"/>
    <col min="815" max="815" width="15.5703125" bestFit="1" customWidth="1"/>
    <col min="816" max="816" width="14" bestFit="1" customWidth="1"/>
    <col min="817" max="817" width="14.42578125" bestFit="1" customWidth="1"/>
    <col min="818" max="818" width="10.28515625" bestFit="1" customWidth="1"/>
    <col min="819" max="819" width="13.42578125" bestFit="1" customWidth="1"/>
    <col min="820" max="820" width="15.5703125" bestFit="1" customWidth="1"/>
    <col min="821" max="821" width="14" bestFit="1" customWidth="1"/>
    <col min="822" max="822" width="14.42578125" bestFit="1" customWidth="1"/>
    <col min="823" max="823" width="10.28515625" bestFit="1" customWidth="1"/>
    <col min="824" max="824" width="13.42578125" bestFit="1" customWidth="1"/>
    <col min="825" max="825" width="15.5703125" bestFit="1" customWidth="1"/>
    <col min="826" max="826" width="14" bestFit="1" customWidth="1"/>
    <col min="827" max="827" width="14.42578125" bestFit="1" customWidth="1"/>
    <col min="828" max="828" width="10.28515625" bestFit="1" customWidth="1"/>
    <col min="829" max="829" width="13.42578125" bestFit="1" customWidth="1"/>
    <col min="830" max="830" width="15.5703125" bestFit="1" customWidth="1"/>
    <col min="831" max="831" width="14" bestFit="1" customWidth="1"/>
    <col min="832" max="832" width="14.42578125" bestFit="1" customWidth="1"/>
    <col min="833" max="833" width="10.28515625" bestFit="1" customWidth="1"/>
    <col min="834" max="834" width="13.42578125" bestFit="1" customWidth="1"/>
    <col min="835" max="835" width="15.5703125" bestFit="1" customWidth="1"/>
    <col min="836" max="836" width="14" bestFit="1" customWidth="1"/>
    <col min="837" max="837" width="14.42578125" bestFit="1" customWidth="1"/>
    <col min="838" max="838" width="10.28515625" bestFit="1" customWidth="1"/>
    <col min="839" max="839" width="13.42578125" bestFit="1" customWidth="1"/>
    <col min="840" max="840" width="15.5703125" bestFit="1" customWidth="1"/>
    <col min="841" max="841" width="14" bestFit="1" customWidth="1"/>
    <col min="842" max="842" width="14.42578125" bestFit="1" customWidth="1"/>
    <col min="843" max="843" width="10.28515625" bestFit="1" customWidth="1"/>
    <col min="844" max="844" width="13.42578125" bestFit="1" customWidth="1"/>
    <col min="845" max="845" width="15.5703125" bestFit="1" customWidth="1"/>
    <col min="846" max="846" width="14" bestFit="1" customWidth="1"/>
    <col min="847" max="847" width="14.42578125" bestFit="1" customWidth="1"/>
    <col min="848" max="848" width="10.28515625" bestFit="1" customWidth="1"/>
    <col min="849" max="849" width="13.42578125" bestFit="1" customWidth="1"/>
    <col min="850" max="850" width="15.5703125" bestFit="1" customWidth="1"/>
    <col min="851" max="851" width="14" bestFit="1" customWidth="1"/>
    <col min="852" max="852" width="14.42578125" bestFit="1" customWidth="1"/>
    <col min="853" max="853" width="10.28515625" bestFit="1" customWidth="1"/>
    <col min="854" max="854" width="13.42578125" bestFit="1" customWidth="1"/>
    <col min="855" max="855" width="15.5703125" bestFit="1" customWidth="1"/>
    <col min="856" max="856" width="14" bestFit="1" customWidth="1"/>
    <col min="857" max="857" width="14.42578125" bestFit="1" customWidth="1"/>
    <col min="858" max="858" width="10.28515625" bestFit="1" customWidth="1"/>
    <col min="859" max="859" width="13.42578125" bestFit="1" customWidth="1"/>
    <col min="860" max="860" width="15.5703125" bestFit="1" customWidth="1"/>
    <col min="861" max="861" width="14" bestFit="1" customWidth="1"/>
    <col min="862" max="862" width="14.42578125" bestFit="1" customWidth="1"/>
    <col min="863" max="863" width="10.28515625" bestFit="1" customWidth="1"/>
    <col min="864" max="864" width="13.42578125" bestFit="1" customWidth="1"/>
    <col min="865" max="865" width="15.5703125" bestFit="1" customWidth="1"/>
    <col min="866" max="866" width="14" bestFit="1" customWidth="1"/>
    <col min="867" max="867" width="14.42578125" bestFit="1" customWidth="1"/>
    <col min="868" max="868" width="10.28515625" bestFit="1" customWidth="1"/>
    <col min="869" max="869" width="13.42578125" bestFit="1" customWidth="1"/>
    <col min="870" max="870" width="15.5703125" bestFit="1" customWidth="1"/>
    <col min="871" max="871" width="14" bestFit="1" customWidth="1"/>
    <col min="872" max="872" width="14.42578125" bestFit="1" customWidth="1"/>
    <col min="873" max="873" width="10.28515625" bestFit="1" customWidth="1"/>
    <col min="874" max="874" width="13.42578125" bestFit="1" customWidth="1"/>
    <col min="875" max="875" width="15.5703125" bestFit="1" customWidth="1"/>
    <col min="876" max="876" width="14" bestFit="1" customWidth="1"/>
    <col min="877" max="877" width="14.42578125" bestFit="1" customWidth="1"/>
    <col min="878" max="878" width="10.28515625" bestFit="1" customWidth="1"/>
    <col min="879" max="879" width="13.42578125" bestFit="1" customWidth="1"/>
    <col min="880" max="880" width="15.5703125" bestFit="1" customWidth="1"/>
    <col min="881" max="881" width="14" bestFit="1" customWidth="1"/>
    <col min="882" max="882" width="14.42578125" bestFit="1" customWidth="1"/>
    <col min="883" max="883" width="10.28515625" bestFit="1" customWidth="1"/>
    <col min="884" max="884" width="13.42578125" bestFit="1" customWidth="1"/>
    <col min="885" max="885" width="15.5703125" bestFit="1" customWidth="1"/>
    <col min="886" max="886" width="14" bestFit="1" customWidth="1"/>
    <col min="887" max="887" width="14.42578125" bestFit="1" customWidth="1"/>
    <col min="888" max="888" width="10.28515625" bestFit="1" customWidth="1"/>
    <col min="889" max="889" width="13.42578125" bestFit="1" customWidth="1"/>
    <col min="890" max="890" width="15.5703125" bestFit="1" customWidth="1"/>
    <col min="891" max="891" width="14" bestFit="1" customWidth="1"/>
    <col min="892" max="892" width="14.42578125" bestFit="1" customWidth="1"/>
    <col min="893" max="893" width="10.28515625" bestFit="1" customWidth="1"/>
    <col min="894" max="894" width="13.42578125" bestFit="1" customWidth="1"/>
    <col min="895" max="895" width="15.5703125" bestFit="1" customWidth="1"/>
    <col min="896" max="896" width="14" bestFit="1" customWidth="1"/>
    <col min="897" max="897" width="14.42578125" bestFit="1" customWidth="1"/>
    <col min="898" max="898" width="10.28515625" bestFit="1" customWidth="1"/>
    <col min="899" max="899" width="13.42578125" bestFit="1" customWidth="1"/>
    <col min="900" max="900" width="15.5703125" bestFit="1" customWidth="1"/>
    <col min="901" max="901" width="14" bestFit="1" customWidth="1"/>
    <col min="902" max="902" width="14.42578125" bestFit="1" customWidth="1"/>
    <col min="903" max="903" width="10.28515625" bestFit="1" customWidth="1"/>
    <col min="904" max="904" width="13.42578125" bestFit="1" customWidth="1"/>
    <col min="905" max="905" width="15.5703125" bestFit="1" customWidth="1"/>
    <col min="906" max="906" width="14" bestFit="1" customWidth="1"/>
    <col min="907" max="907" width="14.42578125" bestFit="1" customWidth="1"/>
    <col min="908" max="908" width="10.28515625" bestFit="1" customWidth="1"/>
    <col min="909" max="909" width="13.42578125" bestFit="1" customWidth="1"/>
    <col min="910" max="910" width="15.5703125" bestFit="1" customWidth="1"/>
    <col min="911" max="911" width="14" bestFit="1" customWidth="1"/>
    <col min="912" max="912" width="14.42578125" bestFit="1" customWidth="1"/>
    <col min="913" max="913" width="10.28515625" bestFit="1" customWidth="1"/>
    <col min="914" max="914" width="13.42578125" bestFit="1" customWidth="1"/>
    <col min="915" max="915" width="15.5703125" bestFit="1" customWidth="1"/>
    <col min="916" max="916" width="14" bestFit="1" customWidth="1"/>
    <col min="917" max="917" width="14.42578125" bestFit="1" customWidth="1"/>
    <col min="918" max="918" width="10.28515625" bestFit="1" customWidth="1"/>
    <col min="919" max="919" width="13.42578125" bestFit="1" customWidth="1"/>
    <col min="920" max="920" width="15.5703125" bestFit="1" customWidth="1"/>
    <col min="921" max="921" width="14" bestFit="1" customWidth="1"/>
    <col min="922" max="922" width="14.42578125" bestFit="1" customWidth="1"/>
    <col min="923" max="923" width="10.28515625" bestFit="1" customWidth="1"/>
    <col min="924" max="924" width="13.42578125" bestFit="1" customWidth="1"/>
    <col min="925" max="925" width="15.5703125" bestFit="1" customWidth="1"/>
    <col min="926" max="926" width="14" bestFit="1" customWidth="1"/>
    <col min="927" max="927" width="14.42578125" bestFit="1" customWidth="1"/>
    <col min="928" max="928" width="10.28515625" bestFit="1" customWidth="1"/>
    <col min="929" max="929" width="13.42578125" bestFit="1" customWidth="1"/>
    <col min="930" max="930" width="15.5703125" bestFit="1" customWidth="1"/>
    <col min="931" max="931" width="14" bestFit="1" customWidth="1"/>
    <col min="932" max="932" width="14.42578125" bestFit="1" customWidth="1"/>
    <col min="933" max="933" width="10.28515625" bestFit="1" customWidth="1"/>
    <col min="934" max="934" width="13.42578125" bestFit="1" customWidth="1"/>
    <col min="935" max="935" width="15.5703125" bestFit="1" customWidth="1"/>
    <col min="936" max="936" width="14" bestFit="1" customWidth="1"/>
    <col min="937" max="937" width="14.42578125" bestFit="1" customWidth="1"/>
    <col min="938" max="938" width="10.28515625" bestFit="1" customWidth="1"/>
    <col min="939" max="939" width="13.42578125" bestFit="1" customWidth="1"/>
    <col min="940" max="940" width="15.5703125" bestFit="1" customWidth="1"/>
    <col min="941" max="941" width="14" bestFit="1" customWidth="1"/>
    <col min="942" max="942" width="14.42578125" bestFit="1" customWidth="1"/>
    <col min="943" max="943" width="10.28515625" bestFit="1" customWidth="1"/>
    <col min="944" max="944" width="13.42578125" bestFit="1" customWidth="1"/>
    <col min="945" max="945" width="15.5703125" bestFit="1" customWidth="1"/>
    <col min="946" max="946" width="14" bestFit="1" customWidth="1"/>
    <col min="947" max="947" width="14.42578125" bestFit="1" customWidth="1"/>
    <col min="948" max="948" width="10.28515625" bestFit="1" customWidth="1"/>
    <col min="949" max="949" width="13.42578125" bestFit="1" customWidth="1"/>
    <col min="950" max="950" width="15.5703125" bestFit="1" customWidth="1"/>
    <col min="951" max="951" width="14" bestFit="1" customWidth="1"/>
    <col min="952" max="952" width="14.42578125" bestFit="1" customWidth="1"/>
    <col min="953" max="953" width="10.28515625" bestFit="1" customWidth="1"/>
    <col min="954" max="954" width="13.42578125" bestFit="1" customWidth="1"/>
    <col min="955" max="955" width="15.5703125" bestFit="1" customWidth="1"/>
    <col min="956" max="956" width="14" bestFit="1" customWidth="1"/>
    <col min="957" max="957" width="14.42578125" bestFit="1" customWidth="1"/>
    <col min="958" max="958" width="10.28515625" bestFit="1" customWidth="1"/>
    <col min="959" max="959" width="13.42578125" bestFit="1" customWidth="1"/>
    <col min="960" max="960" width="15.5703125" bestFit="1" customWidth="1"/>
    <col min="961" max="961" width="14" bestFit="1" customWidth="1"/>
    <col min="962" max="962" width="14.42578125" bestFit="1" customWidth="1"/>
    <col min="963" max="963" width="10.28515625" bestFit="1" customWidth="1"/>
    <col min="964" max="964" width="13.42578125" bestFit="1" customWidth="1"/>
    <col min="965" max="965" width="15.5703125" bestFit="1" customWidth="1"/>
    <col min="966" max="966" width="14" bestFit="1" customWidth="1"/>
    <col min="967" max="967" width="14.42578125" bestFit="1" customWidth="1"/>
    <col min="968" max="968" width="10.28515625" bestFit="1" customWidth="1"/>
    <col min="969" max="969" width="13.42578125" bestFit="1" customWidth="1"/>
    <col min="970" max="970" width="15.5703125" bestFit="1" customWidth="1"/>
    <col min="971" max="971" width="14" bestFit="1" customWidth="1"/>
    <col min="972" max="972" width="14.42578125" bestFit="1" customWidth="1"/>
    <col min="973" max="973" width="10.28515625" bestFit="1" customWidth="1"/>
    <col min="974" max="974" width="13.42578125" bestFit="1" customWidth="1"/>
    <col min="975" max="975" width="15.5703125" bestFit="1" customWidth="1"/>
    <col min="976" max="976" width="14" bestFit="1" customWidth="1"/>
    <col min="977" max="977" width="14.42578125" bestFit="1" customWidth="1"/>
    <col min="978" max="978" width="10.28515625" bestFit="1" customWidth="1"/>
    <col min="979" max="979" width="13.42578125" bestFit="1" customWidth="1"/>
    <col min="980" max="980" width="15.5703125" bestFit="1" customWidth="1"/>
    <col min="981" max="981" width="14" bestFit="1" customWidth="1"/>
    <col min="982" max="982" width="14.42578125" bestFit="1" customWidth="1"/>
    <col min="983" max="983" width="10.28515625" bestFit="1" customWidth="1"/>
    <col min="984" max="984" width="13.42578125" bestFit="1" customWidth="1"/>
    <col min="985" max="985" width="15.5703125" bestFit="1" customWidth="1"/>
    <col min="986" max="986" width="14" bestFit="1" customWidth="1"/>
    <col min="987" max="987" width="14.42578125" bestFit="1" customWidth="1"/>
    <col min="988" max="988" width="10.28515625" bestFit="1" customWidth="1"/>
    <col min="989" max="989" width="13.42578125" bestFit="1" customWidth="1"/>
    <col min="990" max="990" width="15.5703125" bestFit="1" customWidth="1"/>
    <col min="991" max="991" width="14" bestFit="1" customWidth="1"/>
    <col min="992" max="992" width="14.42578125" bestFit="1" customWidth="1"/>
    <col min="993" max="993" width="10.28515625" bestFit="1" customWidth="1"/>
    <col min="994" max="994" width="13.42578125" bestFit="1" customWidth="1"/>
    <col min="995" max="995" width="15.5703125" bestFit="1" customWidth="1"/>
    <col min="996" max="996" width="14" bestFit="1" customWidth="1"/>
    <col min="997" max="997" width="14.42578125" bestFit="1" customWidth="1"/>
    <col min="998" max="998" width="10.28515625" bestFit="1" customWidth="1"/>
    <col min="999" max="999" width="13.42578125" bestFit="1" customWidth="1"/>
    <col min="1000" max="1000" width="15.5703125" bestFit="1" customWidth="1"/>
    <col min="1001" max="1001" width="14" bestFit="1" customWidth="1"/>
    <col min="1002" max="1002" width="14.42578125" bestFit="1" customWidth="1"/>
    <col min="1003" max="1003" width="10.28515625" bestFit="1" customWidth="1"/>
    <col min="1004" max="1004" width="13.42578125" bestFit="1" customWidth="1"/>
    <col min="1005" max="1005" width="15.5703125" bestFit="1" customWidth="1"/>
    <col min="1006" max="1006" width="14" bestFit="1" customWidth="1"/>
    <col min="1007" max="1007" width="14.42578125" bestFit="1" customWidth="1"/>
    <col min="1008" max="1008" width="10.28515625" bestFit="1" customWidth="1"/>
    <col min="1009" max="1009" width="13.42578125" bestFit="1" customWidth="1"/>
    <col min="1010" max="1010" width="15.5703125" bestFit="1" customWidth="1"/>
    <col min="1011" max="1011" width="14" bestFit="1" customWidth="1"/>
    <col min="1012" max="1012" width="14.42578125" bestFit="1" customWidth="1"/>
    <col min="1013" max="1013" width="10.28515625" bestFit="1" customWidth="1"/>
    <col min="1014" max="1014" width="13.42578125" bestFit="1" customWidth="1"/>
    <col min="1015" max="1015" width="15.5703125" bestFit="1" customWidth="1"/>
    <col min="1016" max="1016" width="14" bestFit="1" customWidth="1"/>
    <col min="1017" max="1017" width="14.42578125" bestFit="1" customWidth="1"/>
    <col min="1018" max="1018" width="10.28515625" bestFit="1" customWidth="1"/>
    <col min="1019" max="1019" width="13.42578125" bestFit="1" customWidth="1"/>
    <col min="1020" max="1020" width="15.5703125" bestFit="1" customWidth="1"/>
    <col min="1021" max="1021" width="14" bestFit="1" customWidth="1"/>
    <col min="1022" max="1022" width="14.42578125" bestFit="1" customWidth="1"/>
    <col min="1023" max="1023" width="10.28515625" bestFit="1" customWidth="1"/>
    <col min="1024" max="1024" width="13.42578125" bestFit="1" customWidth="1"/>
    <col min="1025" max="1025" width="15.5703125" bestFit="1" customWidth="1"/>
    <col min="1026" max="1026" width="14" bestFit="1" customWidth="1"/>
    <col min="1027" max="1027" width="14.42578125" bestFit="1" customWidth="1"/>
    <col min="1028" max="1028" width="10.28515625" bestFit="1" customWidth="1"/>
    <col min="1029" max="1029" width="13.42578125" bestFit="1" customWidth="1"/>
    <col min="1030" max="1030" width="15.5703125" bestFit="1" customWidth="1"/>
    <col min="1031" max="1031" width="14" bestFit="1" customWidth="1"/>
    <col min="1032" max="1032" width="14.42578125" bestFit="1" customWidth="1"/>
    <col min="1033" max="1033" width="10.28515625" bestFit="1" customWidth="1"/>
    <col min="1034" max="1034" width="13.42578125" bestFit="1" customWidth="1"/>
    <col min="1035" max="1035" width="15.5703125" bestFit="1" customWidth="1"/>
    <col min="1036" max="1036" width="14" bestFit="1" customWidth="1"/>
    <col min="1037" max="1037" width="14.42578125" bestFit="1" customWidth="1"/>
    <col min="1038" max="1038" width="10.28515625" bestFit="1" customWidth="1"/>
    <col min="1039" max="1039" width="13.42578125" bestFit="1" customWidth="1"/>
    <col min="1040" max="1040" width="15.5703125" bestFit="1" customWidth="1"/>
    <col min="1041" max="1041" width="14" bestFit="1" customWidth="1"/>
    <col min="1042" max="1042" width="14.42578125" bestFit="1" customWidth="1"/>
    <col min="1043" max="1043" width="10.28515625" bestFit="1" customWidth="1"/>
    <col min="1044" max="1044" width="13.42578125" bestFit="1" customWidth="1"/>
    <col min="1045" max="1045" width="15.5703125" bestFit="1" customWidth="1"/>
    <col min="1046" max="1046" width="14" bestFit="1" customWidth="1"/>
    <col min="1047" max="1047" width="14.42578125" bestFit="1" customWidth="1"/>
    <col min="1048" max="1048" width="10.28515625" bestFit="1" customWidth="1"/>
    <col min="1049" max="1049" width="13.42578125" bestFit="1" customWidth="1"/>
    <col min="1050" max="1050" width="15.5703125" bestFit="1" customWidth="1"/>
    <col min="1051" max="1051" width="14" bestFit="1" customWidth="1"/>
    <col min="1052" max="1052" width="14.42578125" bestFit="1" customWidth="1"/>
    <col min="1053" max="1053" width="10.28515625" bestFit="1" customWidth="1"/>
    <col min="1054" max="1054" width="13.42578125" bestFit="1" customWidth="1"/>
    <col min="1055" max="1055" width="15.5703125" bestFit="1" customWidth="1"/>
    <col min="1056" max="1056" width="14" bestFit="1" customWidth="1"/>
    <col min="1057" max="1057" width="14.42578125" bestFit="1" customWidth="1"/>
    <col min="1058" max="1058" width="10.28515625" bestFit="1" customWidth="1"/>
    <col min="1059" max="1059" width="13.42578125" bestFit="1" customWidth="1"/>
    <col min="1060" max="1060" width="15.5703125" bestFit="1" customWidth="1"/>
    <col min="1061" max="1061" width="14" bestFit="1" customWidth="1"/>
    <col min="1062" max="1062" width="14.42578125" bestFit="1" customWidth="1"/>
    <col min="1063" max="1063" width="10.28515625" bestFit="1" customWidth="1"/>
    <col min="1064" max="1064" width="13.42578125" bestFit="1" customWidth="1"/>
    <col min="1065" max="1065" width="15.5703125" bestFit="1" customWidth="1"/>
    <col min="1066" max="1066" width="14" bestFit="1" customWidth="1"/>
    <col min="1067" max="1067" width="14.42578125" bestFit="1" customWidth="1"/>
    <col min="1068" max="1068" width="10.28515625" bestFit="1" customWidth="1"/>
    <col min="1069" max="1069" width="13.42578125" bestFit="1" customWidth="1"/>
    <col min="1070" max="1070" width="15.5703125" bestFit="1" customWidth="1"/>
    <col min="1071" max="1071" width="14" bestFit="1" customWidth="1"/>
    <col min="1072" max="1072" width="14.42578125" bestFit="1" customWidth="1"/>
    <col min="1073" max="1073" width="10.28515625" bestFit="1" customWidth="1"/>
    <col min="1074" max="1074" width="13.42578125" bestFit="1" customWidth="1"/>
    <col min="1075" max="1075" width="15.5703125" bestFit="1" customWidth="1"/>
    <col min="1076" max="1076" width="14" bestFit="1" customWidth="1"/>
    <col min="1077" max="1077" width="14.42578125" bestFit="1" customWidth="1"/>
    <col min="1078" max="1078" width="10.28515625" bestFit="1" customWidth="1"/>
    <col min="1079" max="1079" width="13.42578125" bestFit="1" customWidth="1"/>
    <col min="1080" max="1080" width="15.5703125" bestFit="1" customWidth="1"/>
    <col min="1081" max="1081" width="14" bestFit="1" customWidth="1"/>
    <col min="1082" max="1082" width="14.42578125" bestFit="1" customWidth="1"/>
    <col min="1083" max="1083" width="10.28515625" bestFit="1" customWidth="1"/>
    <col min="1084" max="1084" width="13.42578125" bestFit="1" customWidth="1"/>
    <col min="1085" max="1085" width="15.5703125" bestFit="1" customWidth="1"/>
    <col min="1086" max="1086" width="14" bestFit="1" customWidth="1"/>
    <col min="1087" max="1087" width="14.42578125" bestFit="1" customWidth="1"/>
    <col min="1088" max="1088" width="10.28515625" bestFit="1" customWidth="1"/>
    <col min="1089" max="1089" width="13.42578125" bestFit="1" customWidth="1"/>
    <col min="1090" max="1090" width="15.5703125" bestFit="1" customWidth="1"/>
    <col min="1091" max="1091" width="14" bestFit="1" customWidth="1"/>
    <col min="1092" max="1092" width="14.42578125" bestFit="1" customWidth="1"/>
    <col min="1093" max="1093" width="10.28515625" bestFit="1" customWidth="1"/>
    <col min="1094" max="1094" width="13.42578125" bestFit="1" customWidth="1"/>
    <col min="1095" max="1095" width="15.5703125" bestFit="1" customWidth="1"/>
    <col min="1096" max="1096" width="14" bestFit="1" customWidth="1"/>
    <col min="1097" max="1097" width="14.42578125" bestFit="1" customWidth="1"/>
    <col min="1098" max="1098" width="10.28515625" bestFit="1" customWidth="1"/>
    <col min="1099" max="1099" width="13.42578125" bestFit="1" customWidth="1"/>
    <col min="1100" max="1100" width="15.5703125" bestFit="1" customWidth="1"/>
    <col min="1101" max="1101" width="14" bestFit="1" customWidth="1"/>
    <col min="1102" max="1102" width="14.42578125" bestFit="1" customWidth="1"/>
    <col min="1103" max="1103" width="10.28515625" bestFit="1" customWidth="1"/>
    <col min="1104" max="1104" width="13.42578125" bestFit="1" customWidth="1"/>
    <col min="1105" max="1105" width="15.5703125" bestFit="1" customWidth="1"/>
    <col min="1106" max="1106" width="14" bestFit="1" customWidth="1"/>
    <col min="1107" max="1107" width="14.42578125" bestFit="1" customWidth="1"/>
    <col min="1108" max="1108" width="10.28515625" bestFit="1" customWidth="1"/>
    <col min="1109" max="1109" width="13.42578125" bestFit="1" customWidth="1"/>
    <col min="1110" max="1110" width="15.5703125" bestFit="1" customWidth="1"/>
    <col min="1111" max="1111" width="14" bestFit="1" customWidth="1"/>
    <col min="1112" max="1112" width="14.42578125" bestFit="1" customWidth="1"/>
    <col min="1113" max="1113" width="10.28515625" bestFit="1" customWidth="1"/>
    <col min="1114" max="1114" width="13.42578125" bestFit="1" customWidth="1"/>
    <col min="1115" max="1115" width="15.5703125" bestFit="1" customWidth="1"/>
    <col min="1116" max="1116" width="14" bestFit="1" customWidth="1"/>
    <col min="1117" max="1117" width="14.42578125" bestFit="1" customWidth="1"/>
    <col min="1118" max="1118" width="10.28515625" bestFit="1" customWidth="1"/>
    <col min="1119" max="1119" width="13.42578125" bestFit="1" customWidth="1"/>
    <col min="1120" max="1120" width="15.5703125" bestFit="1" customWidth="1"/>
    <col min="1121" max="1121" width="14" bestFit="1" customWidth="1"/>
    <col min="1122" max="1122" width="14.42578125" bestFit="1" customWidth="1"/>
    <col min="1123" max="1123" width="10.28515625" bestFit="1" customWidth="1"/>
    <col min="1124" max="1124" width="13.42578125" bestFit="1" customWidth="1"/>
    <col min="1125" max="1125" width="15.5703125" bestFit="1" customWidth="1"/>
    <col min="1126" max="1126" width="14" bestFit="1" customWidth="1"/>
    <col min="1127" max="1127" width="14.42578125" bestFit="1" customWidth="1"/>
    <col min="1128" max="1128" width="10.28515625" bestFit="1" customWidth="1"/>
    <col min="1129" max="1129" width="13.42578125" bestFit="1" customWidth="1"/>
    <col min="1130" max="1130" width="15.5703125" bestFit="1" customWidth="1"/>
    <col min="1131" max="1131" width="14" bestFit="1" customWidth="1"/>
    <col min="1132" max="1132" width="14.42578125" bestFit="1" customWidth="1"/>
    <col min="1133" max="1133" width="10.28515625" bestFit="1" customWidth="1"/>
    <col min="1134" max="1134" width="13.42578125" bestFit="1" customWidth="1"/>
    <col min="1135" max="1135" width="15.5703125" bestFit="1" customWidth="1"/>
    <col min="1136" max="1136" width="14" bestFit="1" customWidth="1"/>
    <col min="1137" max="1137" width="14.42578125" bestFit="1" customWidth="1"/>
    <col min="1138" max="1138" width="10.28515625" bestFit="1" customWidth="1"/>
    <col min="1139" max="1139" width="13.42578125" bestFit="1" customWidth="1"/>
    <col min="1140" max="1140" width="15.5703125" bestFit="1" customWidth="1"/>
    <col min="1141" max="1141" width="14" bestFit="1" customWidth="1"/>
    <col min="1142" max="1142" width="14.42578125" bestFit="1" customWidth="1"/>
    <col min="1143" max="1143" width="10.28515625" bestFit="1" customWidth="1"/>
    <col min="1144" max="1144" width="13.42578125" bestFit="1" customWidth="1"/>
    <col min="1145" max="1145" width="15.5703125" bestFit="1" customWidth="1"/>
    <col min="1146" max="1146" width="14" bestFit="1" customWidth="1"/>
    <col min="1147" max="1147" width="14.42578125" bestFit="1" customWidth="1"/>
    <col min="1148" max="1148" width="10.28515625" bestFit="1" customWidth="1"/>
    <col min="1149" max="1149" width="13.42578125" bestFit="1" customWidth="1"/>
    <col min="1150" max="1150" width="15.5703125" bestFit="1" customWidth="1"/>
    <col min="1151" max="1151" width="14" bestFit="1" customWidth="1"/>
    <col min="1152" max="1152" width="14.42578125" bestFit="1" customWidth="1"/>
    <col min="1153" max="1153" width="10.28515625" bestFit="1" customWidth="1"/>
    <col min="1154" max="1154" width="13.42578125" bestFit="1" customWidth="1"/>
    <col min="1155" max="1155" width="15.5703125" bestFit="1" customWidth="1"/>
    <col min="1156" max="1156" width="14" bestFit="1" customWidth="1"/>
    <col min="1157" max="1157" width="14.42578125" bestFit="1" customWidth="1"/>
    <col min="1158" max="1158" width="10.28515625" bestFit="1" customWidth="1"/>
    <col min="1159" max="1159" width="13.42578125" bestFit="1" customWidth="1"/>
    <col min="1160" max="1160" width="15.5703125" bestFit="1" customWidth="1"/>
    <col min="1161" max="1161" width="14" bestFit="1" customWidth="1"/>
    <col min="1162" max="1162" width="14.42578125" bestFit="1" customWidth="1"/>
    <col min="1163" max="1163" width="10.28515625" bestFit="1" customWidth="1"/>
    <col min="1164" max="1164" width="13.42578125" bestFit="1" customWidth="1"/>
    <col min="1165" max="1165" width="15.5703125" bestFit="1" customWidth="1"/>
    <col min="1166" max="1166" width="14" bestFit="1" customWidth="1"/>
    <col min="1167" max="1167" width="14.42578125" bestFit="1" customWidth="1"/>
    <col min="1168" max="1168" width="10.28515625" bestFit="1" customWidth="1"/>
    <col min="1169" max="1169" width="13.42578125" bestFit="1" customWidth="1"/>
    <col min="1170" max="1170" width="15.5703125" bestFit="1" customWidth="1"/>
    <col min="1171" max="1171" width="14" bestFit="1" customWidth="1"/>
    <col min="1172" max="1172" width="14.42578125" bestFit="1" customWidth="1"/>
    <col min="1173" max="1173" width="10.28515625" bestFit="1" customWidth="1"/>
    <col min="1174" max="1174" width="13.42578125" bestFit="1" customWidth="1"/>
    <col min="1175" max="1175" width="15.5703125" bestFit="1" customWidth="1"/>
    <col min="1176" max="1176" width="14" bestFit="1" customWidth="1"/>
    <col min="1177" max="1177" width="14.42578125" bestFit="1" customWidth="1"/>
    <col min="1178" max="1178" width="10.28515625" bestFit="1" customWidth="1"/>
    <col min="1179" max="1179" width="13.42578125" bestFit="1" customWidth="1"/>
    <col min="1180" max="1180" width="15.5703125" bestFit="1" customWidth="1"/>
    <col min="1181" max="1181" width="14" bestFit="1" customWidth="1"/>
    <col min="1182" max="1182" width="14.42578125" bestFit="1" customWidth="1"/>
    <col min="1183" max="1183" width="10.28515625" bestFit="1" customWidth="1"/>
    <col min="1184" max="1184" width="13.42578125" bestFit="1" customWidth="1"/>
    <col min="1185" max="1185" width="15.5703125" bestFit="1" customWidth="1"/>
    <col min="1186" max="1186" width="14" bestFit="1" customWidth="1"/>
    <col min="1187" max="1187" width="14.42578125" bestFit="1" customWidth="1"/>
    <col min="1188" max="1188" width="10.28515625" bestFit="1" customWidth="1"/>
    <col min="1189" max="1189" width="13.42578125" bestFit="1" customWidth="1"/>
    <col min="1190" max="1190" width="15.5703125" bestFit="1" customWidth="1"/>
    <col min="1191" max="1191" width="14" bestFit="1" customWidth="1"/>
    <col min="1192" max="1192" width="14.42578125" bestFit="1" customWidth="1"/>
    <col min="1193" max="1193" width="10.28515625" bestFit="1" customWidth="1"/>
    <col min="1194" max="1194" width="13.42578125" bestFit="1" customWidth="1"/>
    <col min="1195" max="1195" width="15.5703125" bestFit="1" customWidth="1"/>
    <col min="1196" max="1196" width="14" bestFit="1" customWidth="1"/>
    <col min="1197" max="1197" width="14.42578125" bestFit="1" customWidth="1"/>
    <col min="1198" max="1198" width="10.28515625" bestFit="1" customWidth="1"/>
    <col min="1199" max="1199" width="13.42578125" bestFit="1" customWidth="1"/>
    <col min="1200" max="1200" width="15.5703125" bestFit="1" customWidth="1"/>
    <col min="1201" max="1201" width="14" bestFit="1" customWidth="1"/>
    <col min="1202" max="1202" width="14.42578125" bestFit="1" customWidth="1"/>
    <col min="1203" max="1203" width="10.28515625" bestFit="1" customWidth="1"/>
    <col min="1204" max="1204" width="13.42578125" bestFit="1" customWidth="1"/>
    <col min="1205" max="1205" width="15.5703125" bestFit="1" customWidth="1"/>
    <col min="1206" max="1206" width="14" bestFit="1" customWidth="1"/>
    <col min="1207" max="1207" width="14.42578125" bestFit="1" customWidth="1"/>
    <col min="1208" max="1208" width="10.28515625" bestFit="1" customWidth="1"/>
    <col min="1209" max="1209" width="13.42578125" bestFit="1" customWidth="1"/>
    <col min="1210" max="1210" width="15.5703125" bestFit="1" customWidth="1"/>
    <col min="1211" max="1211" width="14" bestFit="1" customWidth="1"/>
    <col min="1212" max="1212" width="14.42578125" bestFit="1" customWidth="1"/>
    <col min="1213" max="1213" width="10.28515625" bestFit="1" customWidth="1"/>
    <col min="1214" max="1214" width="13.42578125" bestFit="1" customWidth="1"/>
    <col min="1215" max="1215" width="15.5703125" bestFit="1" customWidth="1"/>
    <col min="1216" max="1216" width="14" bestFit="1" customWidth="1"/>
    <col min="1217" max="1217" width="14.42578125" bestFit="1" customWidth="1"/>
    <col min="1218" max="1218" width="10.28515625" bestFit="1" customWidth="1"/>
    <col min="1219" max="1219" width="13.42578125" bestFit="1" customWidth="1"/>
    <col min="1220" max="1220" width="15.5703125" bestFit="1" customWidth="1"/>
    <col min="1221" max="1221" width="14" bestFit="1" customWidth="1"/>
    <col min="1222" max="1222" width="14.42578125" bestFit="1" customWidth="1"/>
    <col min="1223" max="1223" width="10.28515625" bestFit="1" customWidth="1"/>
    <col min="1224" max="1224" width="13.42578125" bestFit="1" customWidth="1"/>
    <col min="1225" max="1225" width="15.5703125" bestFit="1" customWidth="1"/>
    <col min="1226" max="1226" width="14" bestFit="1" customWidth="1"/>
    <col min="1227" max="1227" width="14.42578125" bestFit="1" customWidth="1"/>
    <col min="1228" max="1228" width="10.28515625" bestFit="1" customWidth="1"/>
    <col min="1229" max="1229" width="13.42578125" bestFit="1" customWidth="1"/>
    <col min="1230" max="1230" width="15.5703125" bestFit="1" customWidth="1"/>
    <col min="1231" max="1231" width="14" bestFit="1" customWidth="1"/>
    <col min="1232" max="1232" width="14.42578125" bestFit="1" customWidth="1"/>
    <col min="1233" max="1233" width="10.28515625" bestFit="1" customWidth="1"/>
    <col min="1234" max="1234" width="13.42578125" bestFit="1" customWidth="1"/>
    <col min="1235" max="1235" width="15.5703125" bestFit="1" customWidth="1"/>
    <col min="1236" max="1236" width="14" bestFit="1" customWidth="1"/>
    <col min="1237" max="1237" width="14.42578125" bestFit="1" customWidth="1"/>
    <col min="1238" max="1238" width="10.28515625" bestFit="1" customWidth="1"/>
    <col min="1239" max="1239" width="13.42578125" bestFit="1" customWidth="1"/>
    <col min="1240" max="1240" width="15.5703125" bestFit="1" customWidth="1"/>
    <col min="1241" max="1241" width="14" bestFit="1" customWidth="1"/>
    <col min="1242" max="1242" width="14.42578125" bestFit="1" customWidth="1"/>
    <col min="1243" max="1243" width="10.28515625" bestFit="1" customWidth="1"/>
    <col min="1244" max="1244" width="13.42578125" bestFit="1" customWidth="1"/>
    <col min="1245" max="1245" width="15.5703125" bestFit="1" customWidth="1"/>
    <col min="1246" max="1246" width="14" bestFit="1" customWidth="1"/>
    <col min="1247" max="1247" width="14.42578125" bestFit="1" customWidth="1"/>
    <col min="1248" max="1248" width="10.28515625" bestFit="1" customWidth="1"/>
    <col min="1249" max="1249" width="13.42578125" bestFit="1" customWidth="1"/>
    <col min="1250" max="1250" width="15.5703125" bestFit="1" customWidth="1"/>
    <col min="1251" max="1251" width="14" bestFit="1" customWidth="1"/>
    <col min="1252" max="1252" width="14.42578125" bestFit="1" customWidth="1"/>
    <col min="1253" max="1253" width="10.28515625" bestFit="1" customWidth="1"/>
    <col min="1254" max="1254" width="13.42578125" bestFit="1" customWidth="1"/>
    <col min="1255" max="1255" width="15.5703125" bestFit="1" customWidth="1"/>
    <col min="1256" max="1256" width="14" bestFit="1" customWidth="1"/>
    <col min="1257" max="1257" width="14.42578125" bestFit="1" customWidth="1"/>
    <col min="1258" max="1258" width="10.28515625" bestFit="1" customWidth="1"/>
    <col min="1259" max="1259" width="13.42578125" bestFit="1" customWidth="1"/>
    <col min="1260" max="1260" width="15.5703125" bestFit="1" customWidth="1"/>
    <col min="1261" max="1261" width="14" bestFit="1" customWidth="1"/>
    <col min="1262" max="1262" width="14.42578125" bestFit="1" customWidth="1"/>
    <col min="1263" max="1263" width="10.28515625" bestFit="1" customWidth="1"/>
    <col min="1264" max="1264" width="13.42578125" bestFit="1" customWidth="1"/>
    <col min="1265" max="1265" width="15.5703125" bestFit="1" customWidth="1"/>
    <col min="1266" max="1266" width="14" bestFit="1" customWidth="1"/>
    <col min="1267" max="1267" width="14.42578125" bestFit="1" customWidth="1"/>
    <col min="1268" max="1268" width="10.28515625" bestFit="1" customWidth="1"/>
    <col min="1269" max="1269" width="13.42578125" bestFit="1" customWidth="1"/>
    <col min="1270" max="1270" width="15.5703125" bestFit="1" customWidth="1"/>
    <col min="1271" max="1271" width="14" bestFit="1" customWidth="1"/>
    <col min="1272" max="1272" width="14.42578125" bestFit="1" customWidth="1"/>
    <col min="1273" max="1273" width="10.28515625" bestFit="1" customWidth="1"/>
    <col min="1274" max="1274" width="13.42578125" bestFit="1" customWidth="1"/>
    <col min="1275" max="1275" width="15.5703125" bestFit="1" customWidth="1"/>
    <col min="1276" max="1276" width="14" bestFit="1" customWidth="1"/>
    <col min="1277" max="1277" width="14.42578125" bestFit="1" customWidth="1"/>
    <col min="1278" max="1278" width="10.28515625" bestFit="1" customWidth="1"/>
    <col min="1279" max="1279" width="13.42578125" bestFit="1" customWidth="1"/>
    <col min="1280" max="1280" width="15.5703125" bestFit="1" customWidth="1"/>
    <col min="1281" max="1281" width="14" bestFit="1" customWidth="1"/>
    <col min="1282" max="1282" width="14.42578125" bestFit="1" customWidth="1"/>
    <col min="1283" max="1283" width="10.28515625" bestFit="1" customWidth="1"/>
    <col min="1284" max="1284" width="13.42578125" bestFit="1" customWidth="1"/>
    <col min="1285" max="1285" width="15.5703125" bestFit="1" customWidth="1"/>
    <col min="1286" max="1286" width="14" bestFit="1" customWidth="1"/>
    <col min="1287" max="1287" width="14.42578125" bestFit="1" customWidth="1"/>
    <col min="1288" max="1288" width="10.28515625" bestFit="1" customWidth="1"/>
    <col min="1289" max="1289" width="13.42578125" bestFit="1" customWidth="1"/>
    <col min="1290" max="1290" width="15.5703125" bestFit="1" customWidth="1"/>
    <col min="1291" max="1291" width="14" bestFit="1" customWidth="1"/>
    <col min="1292" max="1292" width="14.42578125" bestFit="1" customWidth="1"/>
    <col min="1293" max="1293" width="10.28515625" bestFit="1" customWidth="1"/>
    <col min="1294" max="1294" width="13.42578125" bestFit="1" customWidth="1"/>
    <col min="1295" max="1295" width="15.5703125" bestFit="1" customWidth="1"/>
    <col min="1296" max="1296" width="14" bestFit="1" customWidth="1"/>
    <col min="1297" max="1297" width="14.42578125" bestFit="1" customWidth="1"/>
    <col min="1298" max="1298" width="10.28515625" bestFit="1" customWidth="1"/>
    <col min="1299" max="1299" width="13.42578125" bestFit="1" customWidth="1"/>
    <col min="1300" max="1300" width="15.5703125" bestFit="1" customWidth="1"/>
    <col min="1301" max="1301" width="14" bestFit="1" customWidth="1"/>
    <col min="1302" max="1302" width="14.42578125" bestFit="1" customWidth="1"/>
    <col min="1303" max="1303" width="10.28515625" bestFit="1" customWidth="1"/>
    <col min="1304" max="1304" width="13.42578125" bestFit="1" customWidth="1"/>
    <col min="1305" max="1305" width="15.5703125" bestFit="1" customWidth="1"/>
    <col min="1306" max="1306" width="14" bestFit="1" customWidth="1"/>
    <col min="1307" max="1307" width="14.42578125" bestFit="1" customWidth="1"/>
    <col min="1308" max="1308" width="10.28515625" bestFit="1" customWidth="1"/>
    <col min="1309" max="1309" width="13.42578125" bestFit="1" customWidth="1"/>
    <col min="1310" max="1310" width="15.5703125" bestFit="1" customWidth="1"/>
    <col min="1311" max="1311" width="14" bestFit="1" customWidth="1"/>
    <col min="1312" max="1312" width="14.42578125" bestFit="1" customWidth="1"/>
    <col min="1313" max="1313" width="10.28515625" bestFit="1" customWidth="1"/>
    <col min="1314" max="1314" width="13.42578125" bestFit="1" customWidth="1"/>
    <col min="1315" max="1315" width="15.5703125" bestFit="1" customWidth="1"/>
    <col min="1316" max="1316" width="14" bestFit="1" customWidth="1"/>
    <col min="1317" max="1317" width="14.42578125" bestFit="1" customWidth="1"/>
    <col min="1318" max="1318" width="10.28515625" bestFit="1" customWidth="1"/>
    <col min="1319" max="1319" width="13.42578125" bestFit="1" customWidth="1"/>
    <col min="1320" max="1320" width="15.5703125" bestFit="1" customWidth="1"/>
    <col min="1321" max="1321" width="14" bestFit="1" customWidth="1"/>
    <col min="1322" max="1322" width="14.42578125" bestFit="1" customWidth="1"/>
    <col min="1323" max="1323" width="10.28515625" bestFit="1" customWidth="1"/>
    <col min="1324" max="1324" width="13.42578125" bestFit="1" customWidth="1"/>
    <col min="1325" max="1325" width="15.5703125" bestFit="1" customWidth="1"/>
    <col min="1326" max="1326" width="14" bestFit="1" customWidth="1"/>
    <col min="1327" max="1327" width="14.42578125" bestFit="1" customWidth="1"/>
    <col min="1328" max="1328" width="10.28515625" bestFit="1" customWidth="1"/>
    <col min="1329" max="1329" width="13.42578125" bestFit="1" customWidth="1"/>
    <col min="1330" max="1330" width="15.5703125" bestFit="1" customWidth="1"/>
    <col min="1331" max="1331" width="14" bestFit="1" customWidth="1"/>
    <col min="1332" max="1332" width="14.42578125" bestFit="1" customWidth="1"/>
    <col min="1333" max="1333" width="10.28515625" bestFit="1" customWidth="1"/>
    <col min="1334" max="1334" width="13.42578125" bestFit="1" customWidth="1"/>
    <col min="1335" max="1335" width="15.5703125" bestFit="1" customWidth="1"/>
    <col min="1336" max="1336" width="14" bestFit="1" customWidth="1"/>
    <col min="1337" max="1337" width="14.42578125" bestFit="1" customWidth="1"/>
    <col min="1338" max="1338" width="10.28515625" bestFit="1" customWidth="1"/>
    <col min="1339" max="1339" width="13.42578125" bestFit="1" customWidth="1"/>
    <col min="1340" max="1340" width="15.5703125" bestFit="1" customWidth="1"/>
    <col min="1341" max="1341" width="14" bestFit="1" customWidth="1"/>
    <col min="1342" max="1342" width="14.42578125" bestFit="1" customWidth="1"/>
    <col min="1343" max="1343" width="10.28515625" bestFit="1" customWidth="1"/>
    <col min="1344" max="1344" width="13.42578125" bestFit="1" customWidth="1"/>
    <col min="1345" max="1345" width="15.5703125" bestFit="1" customWidth="1"/>
    <col min="1346" max="1346" width="14" bestFit="1" customWidth="1"/>
    <col min="1347" max="1347" width="14.42578125" bestFit="1" customWidth="1"/>
    <col min="1348" max="1348" width="10.28515625" bestFit="1" customWidth="1"/>
    <col min="1349" max="1349" width="13.42578125" bestFit="1" customWidth="1"/>
    <col min="1350" max="1350" width="15.5703125" bestFit="1" customWidth="1"/>
    <col min="1351" max="1351" width="14" bestFit="1" customWidth="1"/>
    <col min="1352" max="1352" width="14.42578125" bestFit="1" customWidth="1"/>
    <col min="1353" max="1353" width="10.28515625" bestFit="1" customWidth="1"/>
    <col min="1354" max="1354" width="13.42578125" bestFit="1" customWidth="1"/>
    <col min="1355" max="1355" width="15.5703125" bestFit="1" customWidth="1"/>
    <col min="1356" max="1356" width="14" bestFit="1" customWidth="1"/>
    <col min="1357" max="1357" width="14.42578125" bestFit="1" customWidth="1"/>
    <col min="1358" max="1358" width="10.28515625" bestFit="1" customWidth="1"/>
    <col min="1359" max="1359" width="13.42578125" bestFit="1" customWidth="1"/>
    <col min="1360" max="1360" width="15.5703125" bestFit="1" customWidth="1"/>
    <col min="1361" max="1361" width="14" bestFit="1" customWidth="1"/>
    <col min="1362" max="1362" width="14.42578125" bestFit="1" customWidth="1"/>
    <col min="1363" max="1363" width="10.28515625" bestFit="1" customWidth="1"/>
    <col min="1364" max="1364" width="13.42578125" bestFit="1" customWidth="1"/>
    <col min="1365" max="1365" width="15.5703125" bestFit="1" customWidth="1"/>
    <col min="1366" max="1366" width="14" bestFit="1" customWidth="1"/>
    <col min="1367" max="1367" width="14.42578125" bestFit="1" customWidth="1"/>
    <col min="1368" max="1368" width="10.28515625" bestFit="1" customWidth="1"/>
    <col min="1369" max="1369" width="13.42578125" bestFit="1" customWidth="1"/>
    <col min="1370" max="1370" width="15.5703125" bestFit="1" customWidth="1"/>
    <col min="1371" max="1371" width="14" bestFit="1" customWidth="1"/>
    <col min="1372" max="1372" width="14.42578125" bestFit="1" customWidth="1"/>
    <col min="1373" max="1373" width="10.28515625" bestFit="1" customWidth="1"/>
    <col min="1374" max="1374" width="13.42578125" bestFit="1" customWidth="1"/>
    <col min="1375" max="1375" width="15.5703125" bestFit="1" customWidth="1"/>
    <col min="1376" max="1376" width="14" bestFit="1" customWidth="1"/>
    <col min="1377" max="1377" width="14.42578125" bestFit="1" customWidth="1"/>
    <col min="1378" max="1378" width="10.28515625" bestFit="1" customWidth="1"/>
    <col min="1379" max="1379" width="13.42578125" bestFit="1" customWidth="1"/>
    <col min="1380" max="1380" width="15.5703125" bestFit="1" customWidth="1"/>
    <col min="1381" max="1381" width="14" bestFit="1" customWidth="1"/>
    <col min="1382" max="1382" width="14.42578125" bestFit="1" customWidth="1"/>
    <col min="1383" max="1383" width="10.28515625" bestFit="1" customWidth="1"/>
    <col min="1384" max="1384" width="13.42578125" bestFit="1" customWidth="1"/>
    <col min="1385" max="1385" width="15.5703125" bestFit="1" customWidth="1"/>
    <col min="1386" max="1386" width="14" bestFit="1" customWidth="1"/>
    <col min="1387" max="1387" width="14.42578125" bestFit="1" customWidth="1"/>
    <col min="1388" max="1388" width="10.28515625" bestFit="1" customWidth="1"/>
    <col min="1389" max="1389" width="13.42578125" bestFit="1" customWidth="1"/>
    <col min="1390" max="1390" width="15.5703125" bestFit="1" customWidth="1"/>
    <col min="1391" max="1391" width="14" bestFit="1" customWidth="1"/>
    <col min="1392" max="1392" width="14.42578125" bestFit="1" customWidth="1"/>
    <col min="1393" max="1393" width="10.28515625" bestFit="1" customWidth="1"/>
    <col min="1394" max="1394" width="13.42578125" bestFit="1" customWidth="1"/>
    <col min="1395" max="1395" width="15.5703125" bestFit="1" customWidth="1"/>
    <col min="1396" max="1396" width="14" bestFit="1" customWidth="1"/>
    <col min="1397" max="1397" width="14.42578125" bestFit="1" customWidth="1"/>
    <col min="1398" max="1398" width="10.28515625" bestFit="1" customWidth="1"/>
    <col min="1399" max="1399" width="13.42578125" bestFit="1" customWidth="1"/>
    <col min="1400" max="1400" width="15.5703125" bestFit="1" customWidth="1"/>
    <col min="1401" max="1401" width="14" bestFit="1" customWidth="1"/>
    <col min="1402" max="1402" width="14.42578125" bestFit="1" customWidth="1"/>
    <col min="1403" max="1403" width="10.28515625" bestFit="1" customWidth="1"/>
    <col min="1404" max="1404" width="13.42578125" bestFit="1" customWidth="1"/>
    <col min="1405" max="1405" width="15.5703125" bestFit="1" customWidth="1"/>
    <col min="1406" max="1406" width="14" bestFit="1" customWidth="1"/>
    <col min="1407" max="1407" width="14.42578125" bestFit="1" customWidth="1"/>
    <col min="1408" max="1408" width="10.28515625" bestFit="1" customWidth="1"/>
    <col min="1409" max="1409" width="13.42578125" bestFit="1" customWidth="1"/>
    <col min="1410" max="1410" width="15.5703125" bestFit="1" customWidth="1"/>
    <col min="1411" max="1411" width="14" bestFit="1" customWidth="1"/>
    <col min="1412" max="1412" width="14.42578125" bestFit="1" customWidth="1"/>
    <col min="1413" max="1413" width="10.28515625" bestFit="1" customWidth="1"/>
    <col min="1414" max="1414" width="13.42578125" bestFit="1" customWidth="1"/>
    <col min="1415" max="1415" width="15.5703125" bestFit="1" customWidth="1"/>
    <col min="1416" max="1416" width="14" bestFit="1" customWidth="1"/>
    <col min="1417" max="1417" width="14.42578125" bestFit="1" customWidth="1"/>
    <col min="1418" max="1418" width="10.28515625" bestFit="1" customWidth="1"/>
    <col min="1419" max="1419" width="13.42578125" bestFit="1" customWidth="1"/>
    <col min="1420" max="1420" width="15.5703125" bestFit="1" customWidth="1"/>
    <col min="1421" max="1421" width="14" bestFit="1" customWidth="1"/>
    <col min="1422" max="1422" width="14.42578125" bestFit="1" customWidth="1"/>
    <col min="1423" max="1423" width="10.28515625" bestFit="1" customWidth="1"/>
    <col min="1424" max="1424" width="13.42578125" bestFit="1" customWidth="1"/>
    <col min="1425" max="1425" width="15.5703125" bestFit="1" customWidth="1"/>
    <col min="1426" max="1426" width="14" bestFit="1" customWidth="1"/>
    <col min="1427" max="1427" width="14.42578125" bestFit="1" customWidth="1"/>
    <col min="1428" max="1428" width="10.28515625" bestFit="1" customWidth="1"/>
    <col min="1429" max="1429" width="13.42578125" bestFit="1" customWidth="1"/>
    <col min="1430" max="1430" width="15.5703125" bestFit="1" customWidth="1"/>
    <col min="1431" max="1431" width="14" bestFit="1" customWidth="1"/>
    <col min="1432" max="1432" width="14.42578125" bestFit="1" customWidth="1"/>
    <col min="1433" max="1433" width="10.28515625" bestFit="1" customWidth="1"/>
    <col min="1434" max="1434" width="13.42578125" bestFit="1" customWidth="1"/>
    <col min="1435" max="1435" width="15.5703125" bestFit="1" customWidth="1"/>
    <col min="1436" max="1436" width="14" bestFit="1" customWidth="1"/>
    <col min="1437" max="1437" width="14.42578125" bestFit="1" customWidth="1"/>
    <col min="1438" max="1438" width="10.28515625" bestFit="1" customWidth="1"/>
    <col min="1439" max="1439" width="13.42578125" bestFit="1" customWidth="1"/>
    <col min="1440" max="1440" width="15.5703125" bestFit="1" customWidth="1"/>
    <col min="1441" max="1441" width="14" bestFit="1" customWidth="1"/>
    <col min="1442" max="1442" width="14.42578125" bestFit="1" customWidth="1"/>
    <col min="1443" max="1443" width="10.28515625" bestFit="1" customWidth="1"/>
    <col min="1444" max="1444" width="13.42578125" bestFit="1" customWidth="1"/>
    <col min="1445" max="1445" width="15.5703125" bestFit="1" customWidth="1"/>
    <col min="1446" max="1446" width="14" bestFit="1" customWidth="1"/>
    <col min="1447" max="1447" width="14.42578125" bestFit="1" customWidth="1"/>
    <col min="1448" max="1448" width="10.28515625" bestFit="1" customWidth="1"/>
    <col min="1449" max="1449" width="13.42578125" bestFit="1" customWidth="1"/>
    <col min="1450" max="1450" width="15.5703125" bestFit="1" customWidth="1"/>
    <col min="1451" max="1451" width="14" bestFit="1" customWidth="1"/>
    <col min="1452" max="1452" width="14.42578125" bestFit="1" customWidth="1"/>
    <col min="1453" max="1453" width="10.28515625" bestFit="1" customWidth="1"/>
    <col min="1454" max="1454" width="13.42578125" bestFit="1" customWidth="1"/>
    <col min="1455" max="1455" width="15.5703125" bestFit="1" customWidth="1"/>
    <col min="1456" max="1456" width="14" bestFit="1" customWidth="1"/>
    <col min="1457" max="1457" width="14.42578125" bestFit="1" customWidth="1"/>
    <col min="1458" max="1458" width="10.28515625" bestFit="1" customWidth="1"/>
    <col min="1459" max="1459" width="13.42578125" bestFit="1" customWidth="1"/>
    <col min="1460" max="1460" width="15.5703125" bestFit="1" customWidth="1"/>
    <col min="1461" max="1461" width="14" bestFit="1" customWidth="1"/>
    <col min="1462" max="1462" width="14.42578125" bestFit="1" customWidth="1"/>
    <col min="1463" max="1463" width="10.28515625" bestFit="1" customWidth="1"/>
    <col min="1464" max="1464" width="13.42578125" bestFit="1" customWidth="1"/>
    <col min="1465" max="1465" width="15.5703125" bestFit="1" customWidth="1"/>
    <col min="1466" max="1466" width="14" bestFit="1" customWidth="1"/>
    <col min="1467" max="1467" width="14.42578125" bestFit="1" customWidth="1"/>
    <col min="1468" max="1468" width="10.28515625" bestFit="1" customWidth="1"/>
    <col min="1469" max="1469" width="13.42578125" bestFit="1" customWidth="1"/>
    <col min="1470" max="1470" width="15.5703125" bestFit="1" customWidth="1"/>
    <col min="1471" max="1471" width="14" bestFit="1" customWidth="1"/>
    <col min="1472" max="1472" width="14.42578125" bestFit="1" customWidth="1"/>
    <col min="1473" max="1473" width="10.28515625" bestFit="1" customWidth="1"/>
    <col min="1474" max="1474" width="13.42578125" bestFit="1" customWidth="1"/>
    <col min="1475" max="1475" width="15.5703125" bestFit="1" customWidth="1"/>
    <col min="1476" max="1476" width="14" bestFit="1" customWidth="1"/>
    <col min="1477" max="1477" width="14.42578125" bestFit="1" customWidth="1"/>
    <col min="1478" max="1478" width="10.28515625" bestFit="1" customWidth="1"/>
    <col min="1479" max="1479" width="13.42578125" bestFit="1" customWidth="1"/>
    <col min="1480" max="1480" width="15.5703125" bestFit="1" customWidth="1"/>
    <col min="1481" max="1481" width="14" bestFit="1" customWidth="1"/>
    <col min="1482" max="1482" width="14.42578125" bestFit="1" customWidth="1"/>
    <col min="1483" max="1483" width="10.28515625" bestFit="1" customWidth="1"/>
    <col min="1484" max="1484" width="13.42578125" bestFit="1" customWidth="1"/>
    <col min="1485" max="1485" width="15.5703125" bestFit="1" customWidth="1"/>
    <col min="1486" max="1486" width="14" bestFit="1" customWidth="1"/>
    <col min="1487" max="1487" width="14.42578125" bestFit="1" customWidth="1"/>
    <col min="1488" max="1488" width="10.28515625" bestFit="1" customWidth="1"/>
    <col min="1489" max="1489" width="13.42578125" bestFit="1" customWidth="1"/>
    <col min="1490" max="1490" width="15.5703125" bestFit="1" customWidth="1"/>
    <col min="1491" max="1491" width="14" bestFit="1" customWidth="1"/>
    <col min="1492" max="1492" width="14.42578125" bestFit="1" customWidth="1"/>
    <col min="1493" max="1493" width="10.28515625" bestFit="1" customWidth="1"/>
    <col min="1494" max="1494" width="13.42578125" bestFit="1" customWidth="1"/>
    <col min="1495" max="1495" width="15.5703125" bestFit="1" customWidth="1"/>
    <col min="1496" max="1496" width="14" bestFit="1" customWidth="1"/>
    <col min="1497" max="1497" width="14.42578125" bestFit="1" customWidth="1"/>
    <col min="1498" max="1498" width="10.28515625" bestFit="1" customWidth="1"/>
    <col min="1499" max="1499" width="13.42578125" bestFit="1" customWidth="1"/>
    <col min="1500" max="1500" width="15.5703125" bestFit="1" customWidth="1"/>
    <col min="1501" max="1501" width="14" bestFit="1" customWidth="1"/>
    <col min="1502" max="1502" width="14.42578125" bestFit="1" customWidth="1"/>
    <col min="1503" max="1503" width="10.28515625" bestFit="1" customWidth="1"/>
    <col min="1504" max="1504" width="13.42578125" bestFit="1" customWidth="1"/>
    <col min="1505" max="1505" width="15.5703125" bestFit="1" customWidth="1"/>
    <col min="1506" max="1506" width="14" bestFit="1" customWidth="1"/>
    <col min="1507" max="1507" width="14.42578125" bestFit="1" customWidth="1"/>
    <col min="1508" max="1508" width="10.28515625" bestFit="1" customWidth="1"/>
    <col min="1509" max="1509" width="13.42578125" bestFit="1" customWidth="1"/>
    <col min="1510" max="1510" width="15.5703125" bestFit="1" customWidth="1"/>
    <col min="1511" max="1511" width="14" bestFit="1" customWidth="1"/>
    <col min="1512" max="1512" width="14.42578125" bestFit="1" customWidth="1"/>
    <col min="1513" max="1513" width="10.28515625" bestFit="1" customWidth="1"/>
    <col min="1514" max="1514" width="13.42578125" bestFit="1" customWidth="1"/>
    <col min="1515" max="1515" width="15.5703125" bestFit="1" customWidth="1"/>
    <col min="1516" max="1516" width="14" bestFit="1" customWidth="1"/>
    <col min="1517" max="1517" width="14.42578125" bestFit="1" customWidth="1"/>
    <col min="1518" max="1518" width="10.28515625" bestFit="1" customWidth="1"/>
    <col min="1519" max="1519" width="13.42578125" bestFit="1" customWidth="1"/>
    <col min="1520" max="1520" width="15.5703125" bestFit="1" customWidth="1"/>
    <col min="1521" max="1521" width="14" bestFit="1" customWidth="1"/>
    <col min="1522" max="1522" width="14.42578125" bestFit="1" customWidth="1"/>
    <col min="1523" max="1523" width="10.28515625" bestFit="1" customWidth="1"/>
    <col min="1524" max="1524" width="13.42578125" bestFit="1" customWidth="1"/>
    <col min="1525" max="1525" width="15.5703125" bestFit="1" customWidth="1"/>
    <col min="1526" max="1526" width="14" bestFit="1" customWidth="1"/>
    <col min="1527" max="1527" width="14.42578125" bestFit="1" customWidth="1"/>
    <col min="1528" max="1528" width="10.28515625" bestFit="1" customWidth="1"/>
    <col min="1529" max="1529" width="13.42578125" bestFit="1" customWidth="1"/>
    <col min="1530" max="1530" width="15.5703125" bestFit="1" customWidth="1"/>
    <col min="1531" max="1531" width="14" bestFit="1" customWidth="1"/>
    <col min="1532" max="1532" width="14.42578125" bestFit="1" customWidth="1"/>
    <col min="1533" max="1533" width="10.28515625" bestFit="1" customWidth="1"/>
    <col min="1534" max="1534" width="13.42578125" bestFit="1" customWidth="1"/>
    <col min="1535" max="1535" width="15.5703125" bestFit="1" customWidth="1"/>
    <col min="1536" max="1536" width="14" bestFit="1" customWidth="1"/>
    <col min="1537" max="1537" width="14.42578125" bestFit="1" customWidth="1"/>
    <col min="1538" max="1538" width="10.28515625" bestFit="1" customWidth="1"/>
    <col min="1539" max="1539" width="13.42578125" bestFit="1" customWidth="1"/>
    <col min="1540" max="1540" width="15.5703125" bestFit="1" customWidth="1"/>
    <col min="1541" max="1541" width="14" bestFit="1" customWidth="1"/>
    <col min="1542" max="1542" width="14.42578125" bestFit="1" customWidth="1"/>
    <col min="1543" max="1543" width="10.28515625" bestFit="1" customWidth="1"/>
    <col min="1544" max="1544" width="13.42578125" bestFit="1" customWidth="1"/>
    <col min="1545" max="1545" width="15.5703125" bestFit="1" customWidth="1"/>
    <col min="1546" max="1546" width="14" bestFit="1" customWidth="1"/>
    <col min="1547" max="1547" width="14.42578125" bestFit="1" customWidth="1"/>
    <col min="1548" max="1548" width="10.28515625" bestFit="1" customWidth="1"/>
    <col min="1549" max="1549" width="13.42578125" bestFit="1" customWidth="1"/>
    <col min="1550" max="1550" width="15.5703125" bestFit="1" customWidth="1"/>
    <col min="1551" max="1551" width="14" bestFit="1" customWidth="1"/>
    <col min="1552" max="1552" width="14.42578125" bestFit="1" customWidth="1"/>
    <col min="1553" max="1553" width="10.28515625" bestFit="1" customWidth="1"/>
    <col min="1554" max="1554" width="13.42578125" bestFit="1" customWidth="1"/>
    <col min="1555" max="1555" width="15.5703125" bestFit="1" customWidth="1"/>
    <col min="1556" max="1556" width="14" bestFit="1" customWidth="1"/>
    <col min="1557" max="1557" width="14.42578125" bestFit="1" customWidth="1"/>
    <col min="1558" max="1558" width="10.28515625" bestFit="1" customWidth="1"/>
    <col min="1559" max="1559" width="13.42578125" bestFit="1" customWidth="1"/>
    <col min="1560" max="1560" width="15.5703125" bestFit="1" customWidth="1"/>
    <col min="1561" max="1561" width="14" bestFit="1" customWidth="1"/>
    <col min="1562" max="1562" width="14.42578125" bestFit="1" customWidth="1"/>
    <col min="1563" max="1563" width="10.28515625" bestFit="1" customWidth="1"/>
    <col min="1564" max="1564" width="13.42578125" bestFit="1" customWidth="1"/>
    <col min="1565" max="1565" width="15.5703125" bestFit="1" customWidth="1"/>
    <col min="1566" max="1566" width="14" bestFit="1" customWidth="1"/>
    <col min="1567" max="1567" width="14.42578125" bestFit="1" customWidth="1"/>
    <col min="1568" max="1568" width="10.28515625" bestFit="1" customWidth="1"/>
    <col min="1569" max="1569" width="13.42578125" bestFit="1" customWidth="1"/>
    <col min="1570" max="1570" width="15.5703125" bestFit="1" customWidth="1"/>
    <col min="1571" max="1571" width="14" bestFit="1" customWidth="1"/>
    <col min="1572" max="1572" width="14.42578125" bestFit="1" customWidth="1"/>
    <col min="1573" max="1573" width="10.28515625" bestFit="1" customWidth="1"/>
    <col min="1574" max="1574" width="13.42578125" bestFit="1" customWidth="1"/>
    <col min="1575" max="1575" width="15.5703125" bestFit="1" customWidth="1"/>
    <col min="1576" max="1576" width="14" bestFit="1" customWidth="1"/>
    <col min="1577" max="1577" width="14.42578125" bestFit="1" customWidth="1"/>
    <col min="1578" max="1578" width="10.28515625" bestFit="1" customWidth="1"/>
    <col min="1579" max="1579" width="13.42578125" bestFit="1" customWidth="1"/>
    <col min="1580" max="1580" width="15.5703125" bestFit="1" customWidth="1"/>
    <col min="1581" max="1581" width="14" bestFit="1" customWidth="1"/>
    <col min="1582" max="1582" width="14.42578125" bestFit="1" customWidth="1"/>
    <col min="1583" max="1583" width="10.28515625" bestFit="1" customWidth="1"/>
    <col min="1584" max="1584" width="13.42578125" bestFit="1" customWidth="1"/>
    <col min="1585" max="1585" width="15.5703125" bestFit="1" customWidth="1"/>
    <col min="1586" max="1586" width="14" bestFit="1" customWidth="1"/>
    <col min="1587" max="1587" width="14.42578125" bestFit="1" customWidth="1"/>
    <col min="1588" max="1588" width="10.28515625" bestFit="1" customWidth="1"/>
    <col min="1589" max="1589" width="13.42578125" bestFit="1" customWidth="1"/>
    <col min="1590" max="1590" width="15.5703125" bestFit="1" customWidth="1"/>
    <col min="1591" max="1591" width="14" bestFit="1" customWidth="1"/>
    <col min="1592" max="1592" width="14.42578125" bestFit="1" customWidth="1"/>
    <col min="1593" max="1593" width="10.28515625" bestFit="1" customWidth="1"/>
    <col min="1594" max="1594" width="13.42578125" bestFit="1" customWidth="1"/>
    <col min="1595" max="1595" width="15.5703125" bestFit="1" customWidth="1"/>
    <col min="1596" max="1596" width="14" bestFit="1" customWidth="1"/>
    <col min="1597" max="1597" width="14.42578125" bestFit="1" customWidth="1"/>
    <col min="1598" max="1598" width="10.28515625" bestFit="1" customWidth="1"/>
    <col min="1599" max="1599" width="13.42578125" bestFit="1" customWidth="1"/>
    <col min="1600" max="1600" width="15.5703125" bestFit="1" customWidth="1"/>
    <col min="1601" max="1601" width="14" bestFit="1" customWidth="1"/>
    <col min="1602" max="1602" width="14.42578125" bestFit="1" customWidth="1"/>
    <col min="1603" max="1603" width="10.28515625" bestFit="1" customWidth="1"/>
    <col min="1604" max="1604" width="13.42578125" bestFit="1" customWidth="1"/>
    <col min="1605" max="1605" width="15.5703125" bestFit="1" customWidth="1"/>
    <col min="1606" max="1606" width="14" bestFit="1" customWidth="1"/>
    <col min="1607" max="1607" width="14.42578125" bestFit="1" customWidth="1"/>
    <col min="1608" max="1608" width="10.28515625" bestFit="1" customWidth="1"/>
    <col min="1609" max="1609" width="13.42578125" bestFit="1" customWidth="1"/>
    <col min="1610" max="1610" width="15.5703125" bestFit="1" customWidth="1"/>
    <col min="1611" max="1611" width="14" bestFit="1" customWidth="1"/>
    <col min="1612" max="1612" width="14.42578125" bestFit="1" customWidth="1"/>
    <col min="1613" max="1613" width="10.28515625" bestFit="1" customWidth="1"/>
    <col min="1614" max="1614" width="13.42578125" bestFit="1" customWidth="1"/>
    <col min="1615" max="1615" width="15.5703125" bestFit="1" customWidth="1"/>
    <col min="1616" max="1616" width="14" bestFit="1" customWidth="1"/>
    <col min="1617" max="1617" width="14.42578125" bestFit="1" customWidth="1"/>
    <col min="1618" max="1618" width="10.28515625" bestFit="1" customWidth="1"/>
    <col min="1619" max="1619" width="13.42578125" bestFit="1" customWidth="1"/>
    <col min="1620" max="1620" width="15.5703125" bestFit="1" customWidth="1"/>
    <col min="1621" max="1621" width="14" bestFit="1" customWidth="1"/>
    <col min="1622" max="1622" width="14.42578125" bestFit="1" customWidth="1"/>
    <col min="1623" max="1623" width="10.28515625" bestFit="1" customWidth="1"/>
    <col min="1624" max="1624" width="13.42578125" bestFit="1" customWidth="1"/>
    <col min="1625" max="1625" width="15.5703125" bestFit="1" customWidth="1"/>
    <col min="1626" max="1626" width="14" bestFit="1" customWidth="1"/>
    <col min="1627" max="1627" width="14.42578125" bestFit="1" customWidth="1"/>
    <col min="1628" max="1628" width="10.28515625" bestFit="1" customWidth="1"/>
    <col min="1629" max="1629" width="13.42578125" bestFit="1" customWidth="1"/>
    <col min="1630" max="1630" width="15.5703125" bestFit="1" customWidth="1"/>
    <col min="1631" max="1631" width="14" bestFit="1" customWidth="1"/>
    <col min="1632" max="1632" width="14.42578125" bestFit="1" customWidth="1"/>
    <col min="1633" max="1633" width="10.28515625" bestFit="1" customWidth="1"/>
    <col min="1634" max="1634" width="13.42578125" bestFit="1" customWidth="1"/>
    <col min="1635" max="1635" width="15.5703125" bestFit="1" customWidth="1"/>
    <col min="1636" max="1636" width="14" bestFit="1" customWidth="1"/>
    <col min="1637" max="1637" width="14.42578125" bestFit="1" customWidth="1"/>
    <col min="1638" max="1638" width="10.28515625" bestFit="1" customWidth="1"/>
    <col min="1639" max="1639" width="13.42578125" bestFit="1" customWidth="1"/>
    <col min="1640" max="1640" width="15.5703125" bestFit="1" customWidth="1"/>
    <col min="1641" max="1641" width="14" bestFit="1" customWidth="1"/>
    <col min="1642" max="1642" width="14.42578125" bestFit="1" customWidth="1"/>
    <col min="1643" max="1643" width="10.28515625" bestFit="1" customWidth="1"/>
    <col min="1644" max="1644" width="13.42578125" bestFit="1" customWidth="1"/>
    <col min="1645" max="1645" width="15.5703125" bestFit="1" customWidth="1"/>
    <col min="1646" max="1646" width="14" bestFit="1" customWidth="1"/>
    <col min="1647" max="1647" width="14.42578125" bestFit="1" customWidth="1"/>
    <col min="1648" max="1648" width="10.28515625" bestFit="1" customWidth="1"/>
    <col min="1649" max="1649" width="13.42578125" bestFit="1" customWidth="1"/>
    <col min="1650" max="1650" width="15.5703125" bestFit="1" customWidth="1"/>
    <col min="1651" max="1651" width="14" bestFit="1" customWidth="1"/>
    <col min="1652" max="1652" width="14.42578125" bestFit="1" customWidth="1"/>
    <col min="1653" max="1653" width="10.28515625" bestFit="1" customWidth="1"/>
    <col min="1654" max="1654" width="13.42578125" bestFit="1" customWidth="1"/>
    <col min="1655" max="1655" width="15.5703125" bestFit="1" customWidth="1"/>
    <col min="1656" max="1656" width="14" bestFit="1" customWidth="1"/>
    <col min="1657" max="1657" width="14.42578125" bestFit="1" customWidth="1"/>
    <col min="1658" max="1658" width="10.28515625" bestFit="1" customWidth="1"/>
    <col min="1659" max="1659" width="13.42578125" bestFit="1" customWidth="1"/>
    <col min="1660" max="1660" width="15.5703125" bestFit="1" customWidth="1"/>
    <col min="1661" max="1661" width="14" bestFit="1" customWidth="1"/>
    <col min="1662" max="1662" width="14.42578125" bestFit="1" customWidth="1"/>
    <col min="1663" max="1663" width="10.28515625" bestFit="1" customWidth="1"/>
    <col min="1664" max="1664" width="13.42578125" bestFit="1" customWidth="1"/>
    <col min="1665" max="1665" width="15.5703125" bestFit="1" customWidth="1"/>
    <col min="1666" max="1666" width="14" bestFit="1" customWidth="1"/>
    <col min="1667" max="1667" width="14.42578125" bestFit="1" customWidth="1"/>
    <col min="1668" max="1668" width="10.28515625" bestFit="1" customWidth="1"/>
    <col min="1669" max="1669" width="13.42578125" bestFit="1" customWidth="1"/>
    <col min="1670" max="1670" width="15.5703125" bestFit="1" customWidth="1"/>
    <col min="1671" max="1671" width="14" bestFit="1" customWidth="1"/>
    <col min="1672" max="1672" width="14.42578125" bestFit="1" customWidth="1"/>
    <col min="1673" max="1673" width="10.28515625" bestFit="1" customWidth="1"/>
    <col min="1674" max="1674" width="13.42578125" bestFit="1" customWidth="1"/>
    <col min="1675" max="1675" width="15.5703125" bestFit="1" customWidth="1"/>
    <col min="1676" max="1676" width="14" bestFit="1" customWidth="1"/>
    <col min="1677" max="1677" width="14.42578125" bestFit="1" customWidth="1"/>
    <col min="1678" max="1678" width="10.28515625" bestFit="1" customWidth="1"/>
    <col min="1679" max="1679" width="13.42578125" bestFit="1" customWidth="1"/>
    <col min="1680" max="1680" width="15.5703125" bestFit="1" customWidth="1"/>
    <col min="1681" max="1681" width="14" bestFit="1" customWidth="1"/>
    <col min="1682" max="1682" width="14.42578125" bestFit="1" customWidth="1"/>
    <col min="1683" max="1683" width="10.28515625" bestFit="1" customWidth="1"/>
    <col min="1684" max="1684" width="13.42578125" bestFit="1" customWidth="1"/>
    <col min="1685" max="1685" width="15.5703125" bestFit="1" customWidth="1"/>
    <col min="1686" max="1686" width="14" bestFit="1" customWidth="1"/>
    <col min="1687" max="1687" width="14.42578125" bestFit="1" customWidth="1"/>
    <col min="1688" max="1688" width="10.28515625" bestFit="1" customWidth="1"/>
    <col min="1689" max="1689" width="13.42578125" bestFit="1" customWidth="1"/>
    <col min="1690" max="1690" width="15.5703125" bestFit="1" customWidth="1"/>
    <col min="1691" max="1691" width="14" bestFit="1" customWidth="1"/>
    <col min="1692" max="1692" width="14.42578125" bestFit="1" customWidth="1"/>
    <col min="1693" max="1693" width="10.28515625" bestFit="1" customWidth="1"/>
    <col min="1694" max="1694" width="13.42578125" bestFit="1" customWidth="1"/>
    <col min="1695" max="1695" width="15.5703125" bestFit="1" customWidth="1"/>
    <col min="1696" max="1696" width="14" bestFit="1" customWidth="1"/>
    <col min="1697" max="1697" width="14.42578125" bestFit="1" customWidth="1"/>
    <col min="1698" max="1698" width="10.28515625" bestFit="1" customWidth="1"/>
    <col min="1699" max="1699" width="13.42578125" bestFit="1" customWidth="1"/>
    <col min="1700" max="1700" width="15.5703125" bestFit="1" customWidth="1"/>
    <col min="1701" max="1701" width="14" bestFit="1" customWidth="1"/>
    <col min="1702" max="1702" width="14.42578125" bestFit="1" customWidth="1"/>
    <col min="1703" max="1703" width="10.28515625" bestFit="1" customWidth="1"/>
    <col min="1704" max="1704" width="13.42578125" bestFit="1" customWidth="1"/>
    <col min="1705" max="1705" width="15.5703125" bestFit="1" customWidth="1"/>
    <col min="1706" max="1706" width="14" bestFit="1" customWidth="1"/>
    <col min="1707" max="1707" width="14.42578125" bestFit="1" customWidth="1"/>
    <col min="1708" max="1708" width="10.28515625" bestFit="1" customWidth="1"/>
    <col min="1709" max="1709" width="13.42578125" bestFit="1" customWidth="1"/>
    <col min="1710" max="1710" width="15.5703125" bestFit="1" customWidth="1"/>
    <col min="1711" max="1711" width="14" bestFit="1" customWidth="1"/>
    <col min="1712" max="1712" width="14.42578125" bestFit="1" customWidth="1"/>
    <col min="1713" max="1713" width="10.28515625" bestFit="1" customWidth="1"/>
    <col min="1714" max="1714" width="13.42578125" bestFit="1" customWidth="1"/>
    <col min="1715" max="1715" width="15.5703125" bestFit="1" customWidth="1"/>
    <col min="1716" max="1716" width="14" bestFit="1" customWidth="1"/>
    <col min="1717" max="1717" width="14.42578125" bestFit="1" customWidth="1"/>
    <col min="1718" max="1718" width="10.28515625" bestFit="1" customWidth="1"/>
    <col min="1719" max="1719" width="13.42578125" bestFit="1" customWidth="1"/>
    <col min="1720" max="1720" width="15.5703125" bestFit="1" customWidth="1"/>
    <col min="1721" max="1721" width="14" bestFit="1" customWidth="1"/>
    <col min="1722" max="1722" width="14.42578125" bestFit="1" customWidth="1"/>
    <col min="1723" max="1723" width="10.28515625" bestFit="1" customWidth="1"/>
    <col min="1724" max="1724" width="13.42578125" bestFit="1" customWidth="1"/>
    <col min="1725" max="1725" width="15.5703125" bestFit="1" customWidth="1"/>
    <col min="1726" max="1726" width="14" bestFit="1" customWidth="1"/>
    <col min="1727" max="1727" width="14.42578125" bestFit="1" customWidth="1"/>
    <col min="1728" max="1728" width="10.28515625" bestFit="1" customWidth="1"/>
    <col min="1729" max="1729" width="13.42578125" bestFit="1" customWidth="1"/>
    <col min="1730" max="1730" width="15.5703125" bestFit="1" customWidth="1"/>
    <col min="1731" max="1731" width="14" bestFit="1" customWidth="1"/>
    <col min="1732" max="1732" width="14.42578125" bestFit="1" customWidth="1"/>
    <col min="1733" max="1733" width="10.28515625" bestFit="1" customWidth="1"/>
    <col min="1734" max="1734" width="13.42578125" bestFit="1" customWidth="1"/>
    <col min="1735" max="1735" width="15.5703125" bestFit="1" customWidth="1"/>
    <col min="1736" max="1736" width="14" bestFit="1" customWidth="1"/>
    <col min="1737" max="1737" width="14.42578125" bestFit="1" customWidth="1"/>
    <col min="1738" max="1738" width="10.28515625" bestFit="1" customWidth="1"/>
    <col min="1739" max="1739" width="13.42578125" bestFit="1" customWidth="1"/>
    <col min="1740" max="1740" width="15.5703125" bestFit="1" customWidth="1"/>
    <col min="1741" max="1741" width="14" bestFit="1" customWidth="1"/>
    <col min="1742" max="1742" width="14.42578125" bestFit="1" customWidth="1"/>
    <col min="1743" max="1743" width="10.28515625" bestFit="1" customWidth="1"/>
    <col min="1744" max="1744" width="13.42578125" bestFit="1" customWidth="1"/>
    <col min="1745" max="1745" width="15.5703125" bestFit="1" customWidth="1"/>
    <col min="1746" max="1746" width="14" bestFit="1" customWidth="1"/>
    <col min="1747" max="1747" width="14.42578125" bestFit="1" customWidth="1"/>
    <col min="1748" max="1748" width="10.28515625" bestFit="1" customWidth="1"/>
    <col min="1749" max="1749" width="13.42578125" bestFit="1" customWidth="1"/>
    <col min="1750" max="1750" width="15.5703125" bestFit="1" customWidth="1"/>
    <col min="1751" max="1751" width="14" bestFit="1" customWidth="1"/>
    <col min="1752" max="1752" width="14.42578125" bestFit="1" customWidth="1"/>
    <col min="1753" max="1753" width="10.28515625" bestFit="1" customWidth="1"/>
    <col min="1754" max="1754" width="13.42578125" bestFit="1" customWidth="1"/>
    <col min="1755" max="1755" width="15.5703125" bestFit="1" customWidth="1"/>
    <col min="1756" max="1756" width="14" bestFit="1" customWidth="1"/>
    <col min="1757" max="1757" width="14.42578125" bestFit="1" customWidth="1"/>
    <col min="1758" max="1758" width="10.28515625" bestFit="1" customWidth="1"/>
    <col min="1759" max="1759" width="13.42578125" bestFit="1" customWidth="1"/>
    <col min="1760" max="1760" width="15.5703125" bestFit="1" customWidth="1"/>
    <col min="1761" max="1761" width="14" bestFit="1" customWidth="1"/>
    <col min="1762" max="1762" width="14.42578125" bestFit="1" customWidth="1"/>
    <col min="1763" max="1763" width="10.28515625" bestFit="1" customWidth="1"/>
    <col min="1764" max="1764" width="13.42578125" bestFit="1" customWidth="1"/>
    <col min="1765" max="1765" width="15.5703125" bestFit="1" customWidth="1"/>
    <col min="1766" max="1766" width="14" bestFit="1" customWidth="1"/>
    <col min="1767" max="1767" width="14.42578125" bestFit="1" customWidth="1"/>
    <col min="1768" max="1768" width="10.28515625" bestFit="1" customWidth="1"/>
    <col min="1769" max="1769" width="13.42578125" bestFit="1" customWidth="1"/>
    <col min="1770" max="1770" width="15.5703125" bestFit="1" customWidth="1"/>
    <col min="1771" max="1771" width="14" bestFit="1" customWidth="1"/>
    <col min="1772" max="1772" width="14.42578125" bestFit="1" customWidth="1"/>
    <col min="1773" max="1773" width="10.28515625" bestFit="1" customWidth="1"/>
    <col min="1774" max="1774" width="13.42578125" bestFit="1" customWidth="1"/>
    <col min="1775" max="1775" width="15.5703125" bestFit="1" customWidth="1"/>
    <col min="1776" max="1776" width="14" bestFit="1" customWidth="1"/>
    <col min="1777" max="1777" width="14.42578125" bestFit="1" customWidth="1"/>
    <col min="1778" max="1778" width="10.28515625" bestFit="1" customWidth="1"/>
    <col min="1779" max="1779" width="13.42578125" bestFit="1" customWidth="1"/>
    <col min="1780" max="1780" width="15.5703125" bestFit="1" customWidth="1"/>
    <col min="1781" max="1781" width="14" bestFit="1" customWidth="1"/>
    <col min="1782" max="1782" width="14.42578125" bestFit="1" customWidth="1"/>
    <col min="1783" max="1783" width="10.28515625" bestFit="1" customWidth="1"/>
    <col min="1784" max="1784" width="13.42578125" bestFit="1" customWidth="1"/>
    <col min="1785" max="1785" width="15.5703125" bestFit="1" customWidth="1"/>
    <col min="1786" max="1786" width="14" bestFit="1" customWidth="1"/>
    <col min="1787" max="1787" width="14.42578125" bestFit="1" customWidth="1"/>
    <col min="1788" max="1788" width="10.28515625" bestFit="1" customWidth="1"/>
    <col min="1789" max="1789" width="13.42578125" bestFit="1" customWidth="1"/>
    <col min="1790" max="1790" width="15.5703125" bestFit="1" customWidth="1"/>
    <col min="1791" max="1791" width="14" bestFit="1" customWidth="1"/>
    <col min="1792" max="1792" width="14.42578125" bestFit="1" customWidth="1"/>
    <col min="1793" max="1793" width="10.28515625" bestFit="1" customWidth="1"/>
    <col min="1794" max="1794" width="13.42578125" bestFit="1" customWidth="1"/>
    <col min="1795" max="1795" width="15.5703125" bestFit="1" customWidth="1"/>
    <col min="1796" max="1796" width="14" bestFit="1" customWidth="1"/>
    <col min="1797" max="1797" width="14.42578125" bestFit="1" customWidth="1"/>
    <col min="1798" max="1798" width="10.28515625" bestFit="1" customWidth="1"/>
    <col min="1799" max="1799" width="13.42578125" bestFit="1" customWidth="1"/>
    <col min="1800" max="1800" width="15.5703125" bestFit="1" customWidth="1"/>
    <col min="1801" max="1801" width="14" bestFit="1" customWidth="1"/>
    <col min="1802" max="1802" width="14.42578125" bestFit="1" customWidth="1"/>
    <col min="1803" max="1803" width="10.28515625" bestFit="1" customWidth="1"/>
    <col min="1804" max="1804" width="13.42578125" bestFit="1" customWidth="1"/>
    <col min="1805" max="1805" width="15.5703125" bestFit="1" customWidth="1"/>
    <col min="1806" max="1806" width="14" bestFit="1" customWidth="1"/>
    <col min="1807" max="1807" width="14.42578125" bestFit="1" customWidth="1"/>
    <col min="1808" max="1808" width="10.28515625" bestFit="1" customWidth="1"/>
    <col min="1809" max="1809" width="13.42578125" bestFit="1" customWidth="1"/>
    <col min="1810" max="1810" width="15.5703125" bestFit="1" customWidth="1"/>
    <col min="1811" max="1811" width="14" bestFit="1" customWidth="1"/>
    <col min="1812" max="1812" width="14.42578125" bestFit="1" customWidth="1"/>
    <col min="1813" max="1813" width="10.28515625" bestFit="1" customWidth="1"/>
    <col min="1814" max="1814" width="13.42578125" bestFit="1" customWidth="1"/>
    <col min="1815" max="1815" width="15.5703125" bestFit="1" customWidth="1"/>
    <col min="1816" max="1816" width="14" bestFit="1" customWidth="1"/>
    <col min="1817" max="1817" width="14.42578125" bestFit="1" customWidth="1"/>
    <col min="1818" max="1818" width="10.28515625" bestFit="1" customWidth="1"/>
    <col min="1819" max="1819" width="13.42578125" bestFit="1" customWidth="1"/>
    <col min="1820" max="1820" width="15.5703125" bestFit="1" customWidth="1"/>
    <col min="1821" max="1821" width="14" bestFit="1" customWidth="1"/>
    <col min="1822" max="1822" width="14.42578125" bestFit="1" customWidth="1"/>
    <col min="1823" max="1823" width="10.28515625" bestFit="1" customWidth="1"/>
    <col min="1824" max="1824" width="13.42578125" bestFit="1" customWidth="1"/>
    <col min="1825" max="1825" width="15.5703125" bestFit="1" customWidth="1"/>
    <col min="1826" max="1826" width="14" bestFit="1" customWidth="1"/>
    <col min="1827" max="1827" width="14.42578125" bestFit="1" customWidth="1"/>
    <col min="1828" max="1828" width="10.28515625" bestFit="1" customWidth="1"/>
    <col min="1829" max="1829" width="13.42578125" bestFit="1" customWidth="1"/>
    <col min="1830" max="1830" width="15.5703125" bestFit="1" customWidth="1"/>
    <col min="1831" max="1831" width="14" bestFit="1" customWidth="1"/>
    <col min="1832" max="1832" width="14.42578125" bestFit="1" customWidth="1"/>
    <col min="1833" max="1833" width="10.28515625" bestFit="1" customWidth="1"/>
    <col min="1834" max="1834" width="13.42578125" bestFit="1" customWidth="1"/>
    <col min="1835" max="1835" width="15.5703125" bestFit="1" customWidth="1"/>
    <col min="1836" max="1836" width="14" bestFit="1" customWidth="1"/>
    <col min="1837" max="1837" width="14.42578125" bestFit="1" customWidth="1"/>
    <col min="1838" max="1838" width="10.28515625" bestFit="1" customWidth="1"/>
    <col min="1839" max="1839" width="13.42578125" bestFit="1" customWidth="1"/>
    <col min="1840" max="1840" width="15.5703125" bestFit="1" customWidth="1"/>
    <col min="1841" max="1841" width="14" bestFit="1" customWidth="1"/>
    <col min="1842" max="1842" width="14.42578125" bestFit="1" customWidth="1"/>
    <col min="1843" max="1843" width="10.28515625" bestFit="1" customWidth="1"/>
    <col min="1844" max="1844" width="13.42578125" bestFit="1" customWidth="1"/>
    <col min="1845" max="1845" width="15.5703125" bestFit="1" customWidth="1"/>
    <col min="1846" max="1846" width="14" bestFit="1" customWidth="1"/>
    <col min="1847" max="1847" width="14.42578125" bestFit="1" customWidth="1"/>
    <col min="1848" max="1848" width="10.28515625" bestFit="1" customWidth="1"/>
    <col min="1849" max="1849" width="13.42578125" bestFit="1" customWidth="1"/>
    <col min="1850" max="1850" width="15.5703125" bestFit="1" customWidth="1"/>
    <col min="1851" max="1851" width="14" bestFit="1" customWidth="1"/>
    <col min="1852" max="1852" width="14.42578125" bestFit="1" customWidth="1"/>
    <col min="1853" max="1853" width="10.28515625" bestFit="1" customWidth="1"/>
    <col min="1854" max="1854" width="13.42578125" bestFit="1" customWidth="1"/>
    <col min="1855" max="1855" width="15.5703125" bestFit="1" customWidth="1"/>
    <col min="1856" max="1856" width="14" bestFit="1" customWidth="1"/>
    <col min="1857" max="1857" width="14.42578125" bestFit="1" customWidth="1"/>
    <col min="1858" max="1858" width="10.28515625" bestFit="1" customWidth="1"/>
    <col min="1859" max="1859" width="13.42578125" bestFit="1" customWidth="1"/>
    <col min="1860" max="1860" width="15.5703125" bestFit="1" customWidth="1"/>
    <col min="1861" max="1861" width="14" bestFit="1" customWidth="1"/>
    <col min="1862" max="1862" width="14.42578125" bestFit="1" customWidth="1"/>
    <col min="1863" max="1863" width="10.28515625" bestFit="1" customWidth="1"/>
    <col min="1864" max="1864" width="13.42578125" bestFit="1" customWidth="1"/>
    <col min="1865" max="1865" width="15.5703125" bestFit="1" customWidth="1"/>
    <col min="1866" max="1866" width="14" bestFit="1" customWidth="1"/>
    <col min="1867" max="1867" width="14.42578125" bestFit="1" customWidth="1"/>
    <col min="1868" max="1868" width="10.28515625" bestFit="1" customWidth="1"/>
    <col min="1869" max="1869" width="13.42578125" bestFit="1" customWidth="1"/>
    <col min="1870" max="1870" width="15.5703125" bestFit="1" customWidth="1"/>
    <col min="1871" max="1871" width="14" bestFit="1" customWidth="1"/>
    <col min="1872" max="1872" width="14.42578125" bestFit="1" customWidth="1"/>
    <col min="1873" max="1873" width="10.28515625" bestFit="1" customWidth="1"/>
    <col min="1874" max="1874" width="13.42578125" bestFit="1" customWidth="1"/>
    <col min="1875" max="1875" width="15.5703125" bestFit="1" customWidth="1"/>
    <col min="1876" max="1876" width="14" bestFit="1" customWidth="1"/>
    <col min="1877" max="1877" width="14.42578125" bestFit="1" customWidth="1"/>
    <col min="1878" max="1878" width="10.28515625" bestFit="1" customWidth="1"/>
    <col min="1879" max="1879" width="13.42578125" bestFit="1" customWidth="1"/>
    <col min="1880" max="1880" width="15.5703125" bestFit="1" customWidth="1"/>
    <col min="1881" max="1881" width="14" bestFit="1" customWidth="1"/>
    <col min="1882" max="1882" width="14.42578125" bestFit="1" customWidth="1"/>
    <col min="1883" max="1883" width="10.28515625" bestFit="1" customWidth="1"/>
    <col min="1884" max="1884" width="13.42578125" bestFit="1" customWidth="1"/>
    <col min="1885" max="1885" width="15.5703125" bestFit="1" customWidth="1"/>
    <col min="1886" max="1886" width="14" bestFit="1" customWidth="1"/>
    <col min="1887" max="1887" width="14.42578125" bestFit="1" customWidth="1"/>
    <col min="1888" max="1888" width="10.28515625" bestFit="1" customWidth="1"/>
    <col min="1889" max="1889" width="13.42578125" bestFit="1" customWidth="1"/>
    <col min="1890" max="1890" width="15.5703125" bestFit="1" customWidth="1"/>
    <col min="1891" max="1891" width="14" bestFit="1" customWidth="1"/>
    <col min="1892" max="1892" width="14.42578125" bestFit="1" customWidth="1"/>
    <col min="1893" max="1893" width="10.28515625" bestFit="1" customWidth="1"/>
    <col min="1894" max="1894" width="13.42578125" bestFit="1" customWidth="1"/>
    <col min="1895" max="1895" width="15.5703125" bestFit="1" customWidth="1"/>
    <col min="1896" max="1896" width="14" bestFit="1" customWidth="1"/>
    <col min="1897" max="1897" width="14.42578125" bestFit="1" customWidth="1"/>
    <col min="1898" max="1898" width="10.28515625" bestFit="1" customWidth="1"/>
    <col min="1899" max="1899" width="13.42578125" bestFit="1" customWidth="1"/>
    <col min="1900" max="1900" width="15.5703125" bestFit="1" customWidth="1"/>
    <col min="1901" max="1901" width="14" bestFit="1" customWidth="1"/>
    <col min="1902" max="1902" width="14.42578125" bestFit="1" customWidth="1"/>
    <col min="1903" max="1903" width="10.28515625" bestFit="1" customWidth="1"/>
    <col min="1904" max="1904" width="13.42578125" bestFit="1" customWidth="1"/>
    <col min="1905" max="1905" width="15.5703125" bestFit="1" customWidth="1"/>
    <col min="1906" max="1906" width="14" bestFit="1" customWidth="1"/>
    <col min="1907" max="1907" width="14.42578125" bestFit="1" customWidth="1"/>
    <col min="1908" max="1908" width="10.28515625" bestFit="1" customWidth="1"/>
    <col min="1909" max="1909" width="13.42578125" bestFit="1" customWidth="1"/>
    <col min="1910" max="1910" width="15.5703125" bestFit="1" customWidth="1"/>
    <col min="1911" max="1911" width="14" bestFit="1" customWidth="1"/>
    <col min="1912" max="1912" width="14.42578125" bestFit="1" customWidth="1"/>
    <col min="1913" max="1913" width="10.28515625" bestFit="1" customWidth="1"/>
    <col min="1914" max="1914" width="13.42578125" bestFit="1" customWidth="1"/>
    <col min="1915" max="1915" width="15.5703125" bestFit="1" customWidth="1"/>
    <col min="1916" max="1916" width="14" bestFit="1" customWidth="1"/>
    <col min="1917" max="1917" width="14.42578125" bestFit="1" customWidth="1"/>
    <col min="1918" max="1918" width="10.28515625" bestFit="1" customWidth="1"/>
    <col min="1919" max="1919" width="13.42578125" bestFit="1" customWidth="1"/>
    <col min="1920" max="1920" width="15.5703125" bestFit="1" customWidth="1"/>
    <col min="1921" max="1921" width="14" bestFit="1" customWidth="1"/>
    <col min="1922" max="1922" width="14.42578125" bestFit="1" customWidth="1"/>
    <col min="1923" max="1923" width="10.28515625" bestFit="1" customWidth="1"/>
    <col min="1924" max="1924" width="13.42578125" bestFit="1" customWidth="1"/>
    <col min="1925" max="1925" width="15.5703125" bestFit="1" customWidth="1"/>
    <col min="1926" max="1926" width="14" bestFit="1" customWidth="1"/>
    <col min="1927" max="1927" width="14.42578125" bestFit="1" customWidth="1"/>
    <col min="1928" max="1928" width="10.28515625" bestFit="1" customWidth="1"/>
    <col min="1929" max="1929" width="13.42578125" bestFit="1" customWidth="1"/>
    <col min="1930" max="1930" width="15.5703125" bestFit="1" customWidth="1"/>
    <col min="1931" max="1931" width="14" bestFit="1" customWidth="1"/>
    <col min="1932" max="1932" width="14.42578125" bestFit="1" customWidth="1"/>
    <col min="1933" max="1933" width="10.28515625" bestFit="1" customWidth="1"/>
    <col min="1934" max="1934" width="13.42578125" bestFit="1" customWidth="1"/>
    <col min="1935" max="1935" width="15.5703125" bestFit="1" customWidth="1"/>
    <col min="1936" max="1936" width="14" bestFit="1" customWidth="1"/>
    <col min="1937" max="1937" width="14.42578125" bestFit="1" customWidth="1"/>
    <col min="1938" max="1938" width="10.28515625" bestFit="1" customWidth="1"/>
    <col min="1939" max="1939" width="13.42578125" bestFit="1" customWidth="1"/>
    <col min="1940" max="1940" width="15.5703125" bestFit="1" customWidth="1"/>
    <col min="1941" max="1941" width="14" bestFit="1" customWidth="1"/>
    <col min="1942" max="1942" width="14.42578125" bestFit="1" customWidth="1"/>
    <col min="1943" max="1943" width="10.28515625" bestFit="1" customWidth="1"/>
    <col min="1944" max="1944" width="13.42578125" bestFit="1" customWidth="1"/>
    <col min="1945" max="1945" width="15.5703125" bestFit="1" customWidth="1"/>
    <col min="1946" max="1946" width="14" bestFit="1" customWidth="1"/>
    <col min="1947" max="1947" width="14.42578125" bestFit="1" customWidth="1"/>
    <col min="1948" max="1948" width="10.28515625" bestFit="1" customWidth="1"/>
    <col min="1949" max="1949" width="13.42578125" bestFit="1" customWidth="1"/>
    <col min="1950" max="1950" width="15.5703125" bestFit="1" customWidth="1"/>
    <col min="1951" max="1951" width="14" bestFit="1" customWidth="1"/>
    <col min="1952" max="1952" width="14.42578125" bestFit="1" customWidth="1"/>
    <col min="1953" max="1953" width="10.28515625" bestFit="1" customWidth="1"/>
    <col min="1954" max="1954" width="13.42578125" bestFit="1" customWidth="1"/>
    <col min="1955" max="1955" width="15.5703125" bestFit="1" customWidth="1"/>
    <col min="1956" max="1956" width="14" bestFit="1" customWidth="1"/>
    <col min="1957" max="1957" width="14.42578125" bestFit="1" customWidth="1"/>
    <col min="1958" max="1958" width="10.28515625" bestFit="1" customWidth="1"/>
    <col min="1959" max="1959" width="13.42578125" bestFit="1" customWidth="1"/>
    <col min="1960" max="1960" width="15.5703125" bestFit="1" customWidth="1"/>
    <col min="1961" max="1961" width="14" bestFit="1" customWidth="1"/>
    <col min="1962" max="1962" width="14.42578125" bestFit="1" customWidth="1"/>
    <col min="1963" max="1963" width="10.28515625" bestFit="1" customWidth="1"/>
    <col min="1964" max="1964" width="13.42578125" bestFit="1" customWidth="1"/>
    <col min="1965" max="1965" width="15.5703125" bestFit="1" customWidth="1"/>
    <col min="1966" max="1966" width="14" bestFit="1" customWidth="1"/>
    <col min="1967" max="1967" width="14.42578125" bestFit="1" customWidth="1"/>
    <col min="1968" max="1968" width="10.28515625" bestFit="1" customWidth="1"/>
    <col min="1969" max="1969" width="13.42578125" bestFit="1" customWidth="1"/>
    <col min="1970" max="1970" width="15.5703125" bestFit="1" customWidth="1"/>
    <col min="1971" max="1971" width="14" bestFit="1" customWidth="1"/>
    <col min="1972" max="1972" width="14.42578125" bestFit="1" customWidth="1"/>
    <col min="1973" max="1973" width="10.28515625" bestFit="1" customWidth="1"/>
    <col min="1974" max="1974" width="13.42578125" bestFit="1" customWidth="1"/>
    <col min="1975" max="1975" width="15.5703125" bestFit="1" customWidth="1"/>
    <col min="1976" max="1976" width="14" bestFit="1" customWidth="1"/>
    <col min="1977" max="1977" width="14.42578125" bestFit="1" customWidth="1"/>
    <col min="1978" max="1978" width="10.28515625" bestFit="1" customWidth="1"/>
    <col min="1979" max="1979" width="13.42578125" bestFit="1" customWidth="1"/>
    <col min="1980" max="1980" width="15.5703125" bestFit="1" customWidth="1"/>
    <col min="1981" max="1981" width="14" bestFit="1" customWidth="1"/>
    <col min="1982" max="1982" width="14.42578125" bestFit="1" customWidth="1"/>
    <col min="1983" max="1983" width="10.28515625" bestFit="1" customWidth="1"/>
    <col min="1984" max="1984" width="13.42578125" bestFit="1" customWidth="1"/>
    <col min="1985" max="1985" width="15.5703125" bestFit="1" customWidth="1"/>
    <col min="1986" max="1986" width="14" bestFit="1" customWidth="1"/>
    <col min="1987" max="1987" width="14.42578125" bestFit="1" customWidth="1"/>
    <col min="1988" max="1988" width="10.28515625" bestFit="1" customWidth="1"/>
    <col min="1989" max="1989" width="13.42578125" bestFit="1" customWidth="1"/>
    <col min="1990" max="1990" width="15.5703125" bestFit="1" customWidth="1"/>
    <col min="1991" max="1991" width="14" bestFit="1" customWidth="1"/>
    <col min="1992" max="1992" width="14.42578125" bestFit="1" customWidth="1"/>
    <col min="1993" max="1993" width="10.28515625" bestFit="1" customWidth="1"/>
    <col min="1994" max="1994" width="13.42578125" bestFit="1" customWidth="1"/>
    <col min="1995" max="1995" width="15.5703125" bestFit="1" customWidth="1"/>
    <col min="1996" max="1996" width="14" bestFit="1" customWidth="1"/>
    <col min="1997" max="1997" width="14.42578125" bestFit="1" customWidth="1"/>
    <col min="1998" max="1998" width="10.28515625" bestFit="1" customWidth="1"/>
    <col min="1999" max="1999" width="13.42578125" bestFit="1" customWidth="1"/>
    <col min="2000" max="2000" width="15.5703125" bestFit="1" customWidth="1"/>
    <col min="2001" max="2001" width="14" bestFit="1" customWidth="1"/>
    <col min="2002" max="2002" width="14.42578125" bestFit="1" customWidth="1"/>
    <col min="2003" max="2003" width="10.28515625" bestFit="1" customWidth="1"/>
    <col min="2004" max="2004" width="13.42578125" bestFit="1" customWidth="1"/>
    <col min="2005" max="2005" width="15.5703125" bestFit="1" customWidth="1"/>
    <col min="2006" max="2006" width="14" bestFit="1" customWidth="1"/>
    <col min="2007" max="2007" width="14.42578125" bestFit="1" customWidth="1"/>
    <col min="2008" max="2008" width="10.28515625" bestFit="1" customWidth="1"/>
    <col min="2009" max="2009" width="13.42578125" bestFit="1" customWidth="1"/>
    <col min="2010" max="2010" width="15.5703125" bestFit="1" customWidth="1"/>
    <col min="2011" max="2011" width="14" bestFit="1" customWidth="1"/>
    <col min="2012" max="2012" width="14.42578125" bestFit="1" customWidth="1"/>
    <col min="2013" max="2013" width="10.28515625" bestFit="1" customWidth="1"/>
    <col min="2014" max="2014" width="13.42578125" bestFit="1" customWidth="1"/>
    <col min="2015" max="2015" width="15.5703125" bestFit="1" customWidth="1"/>
    <col min="2016" max="2016" width="14" bestFit="1" customWidth="1"/>
    <col min="2017" max="2017" width="14.42578125" bestFit="1" customWidth="1"/>
    <col min="2018" max="2018" width="10.28515625" bestFit="1" customWidth="1"/>
    <col min="2019" max="2019" width="13.42578125" bestFit="1" customWidth="1"/>
    <col min="2020" max="2020" width="15.5703125" bestFit="1" customWidth="1"/>
    <col min="2021" max="2021" width="14" bestFit="1" customWidth="1"/>
    <col min="2022" max="2022" width="14.42578125" bestFit="1" customWidth="1"/>
    <col min="2023" max="2023" width="10.28515625" bestFit="1" customWidth="1"/>
    <col min="2024" max="2024" width="13.42578125" bestFit="1" customWidth="1"/>
    <col min="2025" max="2025" width="15.5703125" bestFit="1" customWidth="1"/>
    <col min="2026" max="2026" width="14" bestFit="1" customWidth="1"/>
    <col min="2027" max="2027" width="14.42578125" bestFit="1" customWidth="1"/>
    <col min="2028" max="2028" width="10.28515625" bestFit="1" customWidth="1"/>
    <col min="2029" max="2029" width="13.42578125" bestFit="1" customWidth="1"/>
    <col min="2030" max="2030" width="15.5703125" bestFit="1" customWidth="1"/>
    <col min="2031" max="2031" width="14" bestFit="1" customWidth="1"/>
    <col min="2032" max="2032" width="14.42578125" bestFit="1" customWidth="1"/>
    <col min="2033" max="2033" width="10.28515625" bestFit="1" customWidth="1"/>
    <col min="2034" max="2034" width="13.42578125" bestFit="1" customWidth="1"/>
    <col min="2035" max="2035" width="15.5703125" bestFit="1" customWidth="1"/>
    <col min="2036" max="2036" width="14" bestFit="1" customWidth="1"/>
    <col min="2037" max="2037" width="14.42578125" bestFit="1" customWidth="1"/>
    <col min="2038" max="2038" width="10.28515625" bestFit="1" customWidth="1"/>
    <col min="2039" max="2039" width="13.42578125" bestFit="1" customWidth="1"/>
    <col min="2040" max="2040" width="15.5703125" bestFit="1" customWidth="1"/>
    <col min="2041" max="2041" width="14" bestFit="1" customWidth="1"/>
    <col min="2042" max="2042" width="14.42578125" bestFit="1" customWidth="1"/>
    <col min="2043" max="2043" width="10.28515625" bestFit="1" customWidth="1"/>
    <col min="2044" max="2044" width="13.42578125" bestFit="1" customWidth="1"/>
    <col min="2045" max="2045" width="15.5703125" bestFit="1" customWidth="1"/>
    <col min="2046" max="2046" width="14" bestFit="1" customWidth="1"/>
    <col min="2047" max="2047" width="14.42578125" bestFit="1" customWidth="1"/>
    <col min="2048" max="2048" width="10.28515625" bestFit="1" customWidth="1"/>
    <col min="2049" max="2049" width="13.42578125" bestFit="1" customWidth="1"/>
    <col min="2050" max="2050" width="15.5703125" bestFit="1" customWidth="1"/>
    <col min="2051" max="2051" width="14" bestFit="1" customWidth="1"/>
    <col min="2052" max="2052" width="14.42578125" bestFit="1" customWidth="1"/>
    <col min="2053" max="2053" width="10.28515625" bestFit="1" customWidth="1"/>
    <col min="2054" max="2054" width="13.42578125" bestFit="1" customWidth="1"/>
    <col min="2055" max="2055" width="15.5703125" bestFit="1" customWidth="1"/>
    <col min="2056" max="2056" width="14" bestFit="1" customWidth="1"/>
    <col min="2057" max="2057" width="14.42578125" bestFit="1" customWidth="1"/>
    <col min="2058" max="2058" width="10.28515625" bestFit="1" customWidth="1"/>
    <col min="2059" max="2059" width="13.42578125" bestFit="1" customWidth="1"/>
    <col min="2060" max="2060" width="15.5703125" bestFit="1" customWidth="1"/>
    <col min="2061" max="2061" width="14" bestFit="1" customWidth="1"/>
    <col min="2062" max="2062" width="14.42578125" bestFit="1" customWidth="1"/>
    <col min="2063" max="2063" width="10.28515625" bestFit="1" customWidth="1"/>
    <col min="2064" max="2064" width="13.42578125" bestFit="1" customWidth="1"/>
    <col min="2065" max="2065" width="15.5703125" bestFit="1" customWidth="1"/>
    <col min="2066" max="2066" width="14" bestFit="1" customWidth="1"/>
    <col min="2067" max="2067" width="14.42578125" bestFit="1" customWidth="1"/>
    <col min="2068" max="2068" width="10.28515625" bestFit="1" customWidth="1"/>
    <col min="2069" max="2069" width="13.42578125" bestFit="1" customWidth="1"/>
    <col min="2070" max="2070" width="15.5703125" bestFit="1" customWidth="1"/>
    <col min="2071" max="2071" width="14" bestFit="1" customWidth="1"/>
    <col min="2072" max="2072" width="14.42578125" bestFit="1" customWidth="1"/>
    <col min="2073" max="2073" width="10.28515625" bestFit="1" customWidth="1"/>
    <col min="2074" max="2074" width="13.42578125" bestFit="1" customWidth="1"/>
    <col min="2075" max="2075" width="15.5703125" bestFit="1" customWidth="1"/>
    <col min="2076" max="2076" width="14" bestFit="1" customWidth="1"/>
    <col min="2077" max="2077" width="14.42578125" bestFit="1" customWidth="1"/>
    <col min="2078" max="2078" width="10.28515625" bestFit="1" customWidth="1"/>
    <col min="2079" max="2079" width="13.42578125" bestFit="1" customWidth="1"/>
    <col min="2080" max="2080" width="15.5703125" bestFit="1" customWidth="1"/>
    <col min="2081" max="2081" width="14" bestFit="1" customWidth="1"/>
    <col min="2082" max="2082" width="14.42578125" bestFit="1" customWidth="1"/>
    <col min="2083" max="2083" width="10.28515625" bestFit="1" customWidth="1"/>
    <col min="2084" max="2084" width="13.42578125" bestFit="1" customWidth="1"/>
    <col min="2085" max="2085" width="15.5703125" bestFit="1" customWidth="1"/>
    <col min="2086" max="2086" width="14" bestFit="1" customWidth="1"/>
    <col min="2087" max="2087" width="14.42578125" bestFit="1" customWidth="1"/>
    <col min="2088" max="2088" width="10.28515625" bestFit="1" customWidth="1"/>
    <col min="2089" max="2089" width="13.42578125" bestFit="1" customWidth="1"/>
    <col min="2090" max="2090" width="15.5703125" bestFit="1" customWidth="1"/>
    <col min="2091" max="2091" width="14" bestFit="1" customWidth="1"/>
    <col min="2092" max="2092" width="14.42578125" bestFit="1" customWidth="1"/>
    <col min="2093" max="2093" width="10.28515625" bestFit="1" customWidth="1"/>
    <col min="2094" max="2094" width="13.42578125" bestFit="1" customWidth="1"/>
    <col min="2095" max="2095" width="15.5703125" bestFit="1" customWidth="1"/>
    <col min="2096" max="2096" width="14" bestFit="1" customWidth="1"/>
    <col min="2097" max="2097" width="14.42578125" bestFit="1" customWidth="1"/>
    <col min="2098" max="2098" width="10.28515625" bestFit="1" customWidth="1"/>
    <col min="2099" max="2099" width="13.42578125" bestFit="1" customWidth="1"/>
    <col min="2100" max="2100" width="15.5703125" bestFit="1" customWidth="1"/>
    <col min="2101" max="2101" width="14" bestFit="1" customWidth="1"/>
    <col min="2102" max="2102" width="14.42578125" bestFit="1" customWidth="1"/>
    <col min="2103" max="2103" width="10.28515625" bestFit="1" customWidth="1"/>
    <col min="2104" max="2104" width="13.42578125" bestFit="1" customWidth="1"/>
    <col min="2105" max="2105" width="15.5703125" bestFit="1" customWidth="1"/>
    <col min="2106" max="2106" width="14" bestFit="1" customWidth="1"/>
    <col min="2107" max="2107" width="14.42578125" bestFit="1" customWidth="1"/>
    <col min="2108" max="2108" width="10.28515625" bestFit="1" customWidth="1"/>
    <col min="2109" max="2109" width="13.42578125" bestFit="1" customWidth="1"/>
    <col min="2110" max="2110" width="15.5703125" bestFit="1" customWidth="1"/>
    <col min="2111" max="2111" width="14" bestFit="1" customWidth="1"/>
    <col min="2112" max="2112" width="14.42578125" bestFit="1" customWidth="1"/>
    <col min="2113" max="2113" width="10.28515625" bestFit="1" customWidth="1"/>
    <col min="2114" max="2114" width="13.42578125" bestFit="1" customWidth="1"/>
    <col min="2115" max="2115" width="15.5703125" bestFit="1" customWidth="1"/>
    <col min="2116" max="2116" width="14" bestFit="1" customWidth="1"/>
    <col min="2117" max="2117" width="14.42578125" bestFit="1" customWidth="1"/>
    <col min="2118" max="2118" width="10.28515625" bestFit="1" customWidth="1"/>
    <col min="2119" max="2119" width="13.42578125" bestFit="1" customWidth="1"/>
    <col min="2120" max="2120" width="15.5703125" bestFit="1" customWidth="1"/>
    <col min="2121" max="2121" width="14" bestFit="1" customWidth="1"/>
    <col min="2122" max="2122" width="14.42578125" bestFit="1" customWidth="1"/>
    <col min="2123" max="2123" width="10.28515625" bestFit="1" customWidth="1"/>
    <col min="2124" max="2124" width="13.42578125" bestFit="1" customWidth="1"/>
    <col min="2125" max="2125" width="15.5703125" bestFit="1" customWidth="1"/>
    <col min="2126" max="2126" width="14" bestFit="1" customWidth="1"/>
    <col min="2127" max="2127" width="14.42578125" bestFit="1" customWidth="1"/>
    <col min="2128" max="2128" width="10.28515625" bestFit="1" customWidth="1"/>
    <col min="2129" max="2129" width="13.42578125" bestFit="1" customWidth="1"/>
    <col min="2130" max="2130" width="15.5703125" bestFit="1" customWidth="1"/>
    <col min="2131" max="2131" width="14" bestFit="1" customWidth="1"/>
    <col min="2132" max="2132" width="14.42578125" bestFit="1" customWidth="1"/>
    <col min="2133" max="2133" width="10.28515625" bestFit="1" customWidth="1"/>
    <col min="2134" max="2134" width="13.42578125" bestFit="1" customWidth="1"/>
    <col min="2135" max="2135" width="15.5703125" bestFit="1" customWidth="1"/>
    <col min="2136" max="2136" width="14" bestFit="1" customWidth="1"/>
    <col min="2137" max="2137" width="14.42578125" bestFit="1" customWidth="1"/>
    <col min="2138" max="2138" width="10.28515625" bestFit="1" customWidth="1"/>
    <col min="2139" max="2139" width="13.42578125" bestFit="1" customWidth="1"/>
    <col min="2140" max="2140" width="15.5703125" bestFit="1" customWidth="1"/>
    <col min="2141" max="2141" width="14" bestFit="1" customWidth="1"/>
    <col min="2142" max="2142" width="14.42578125" bestFit="1" customWidth="1"/>
    <col min="2143" max="2143" width="10.28515625" bestFit="1" customWidth="1"/>
    <col min="2144" max="2144" width="13.42578125" bestFit="1" customWidth="1"/>
    <col min="2145" max="2145" width="15.5703125" bestFit="1" customWidth="1"/>
    <col min="2146" max="2146" width="14" bestFit="1" customWidth="1"/>
    <col min="2147" max="2147" width="14.42578125" bestFit="1" customWidth="1"/>
    <col min="2148" max="2148" width="10.28515625" bestFit="1" customWidth="1"/>
    <col min="2149" max="2149" width="13.42578125" bestFit="1" customWidth="1"/>
    <col min="2150" max="2150" width="15.5703125" bestFit="1" customWidth="1"/>
    <col min="2151" max="2151" width="14" bestFit="1" customWidth="1"/>
    <col min="2152" max="2152" width="14.42578125" bestFit="1" customWidth="1"/>
    <col min="2153" max="2153" width="10.28515625" bestFit="1" customWidth="1"/>
    <col min="2154" max="2154" width="13.42578125" bestFit="1" customWidth="1"/>
    <col min="2155" max="2155" width="15.5703125" bestFit="1" customWidth="1"/>
    <col min="2156" max="2156" width="14" bestFit="1" customWidth="1"/>
    <col min="2157" max="2157" width="14.42578125" bestFit="1" customWidth="1"/>
    <col min="2158" max="2158" width="10.28515625" bestFit="1" customWidth="1"/>
    <col min="2159" max="2159" width="13.42578125" bestFit="1" customWidth="1"/>
    <col min="2160" max="2160" width="15.5703125" bestFit="1" customWidth="1"/>
    <col min="2161" max="2161" width="14" bestFit="1" customWidth="1"/>
    <col min="2162" max="2162" width="14.42578125" bestFit="1" customWidth="1"/>
    <col min="2163" max="2163" width="10.28515625" bestFit="1" customWidth="1"/>
    <col min="2164" max="2164" width="13.42578125" bestFit="1" customWidth="1"/>
    <col min="2165" max="2165" width="15.5703125" bestFit="1" customWidth="1"/>
    <col min="2166" max="2166" width="14" bestFit="1" customWidth="1"/>
    <col min="2167" max="2167" width="14.42578125" bestFit="1" customWidth="1"/>
    <col min="2168" max="2168" width="10.28515625" bestFit="1" customWidth="1"/>
    <col min="2169" max="2169" width="13.42578125" bestFit="1" customWidth="1"/>
    <col min="2170" max="2170" width="15.5703125" bestFit="1" customWidth="1"/>
    <col min="2171" max="2171" width="14" bestFit="1" customWidth="1"/>
    <col min="2172" max="2172" width="14.42578125" bestFit="1" customWidth="1"/>
    <col min="2173" max="2173" width="10.28515625" bestFit="1" customWidth="1"/>
    <col min="2174" max="2174" width="13.42578125" bestFit="1" customWidth="1"/>
    <col min="2175" max="2175" width="15.5703125" bestFit="1" customWidth="1"/>
    <col min="2176" max="2176" width="14" bestFit="1" customWidth="1"/>
    <col min="2177" max="2177" width="14.42578125" bestFit="1" customWidth="1"/>
    <col min="2178" max="2178" width="10.28515625" bestFit="1" customWidth="1"/>
    <col min="2179" max="2179" width="13.42578125" bestFit="1" customWidth="1"/>
    <col min="2180" max="2180" width="15.5703125" bestFit="1" customWidth="1"/>
    <col min="2181" max="2181" width="14" bestFit="1" customWidth="1"/>
    <col min="2182" max="2182" width="14.42578125" bestFit="1" customWidth="1"/>
    <col min="2183" max="2183" width="10.28515625" bestFit="1" customWidth="1"/>
    <col min="2184" max="2184" width="13.42578125" bestFit="1" customWidth="1"/>
    <col min="2185" max="2185" width="15.5703125" bestFit="1" customWidth="1"/>
    <col min="2186" max="2186" width="14" bestFit="1" customWidth="1"/>
    <col min="2187" max="2187" width="14.42578125" bestFit="1" customWidth="1"/>
    <col min="2188" max="2188" width="10.28515625" bestFit="1" customWidth="1"/>
    <col min="2189" max="2189" width="13.42578125" bestFit="1" customWidth="1"/>
    <col min="2190" max="2190" width="15.5703125" bestFit="1" customWidth="1"/>
    <col min="2191" max="2191" width="14" bestFit="1" customWidth="1"/>
    <col min="2192" max="2192" width="14.42578125" bestFit="1" customWidth="1"/>
    <col min="2193" max="2193" width="10.28515625" bestFit="1" customWidth="1"/>
    <col min="2194" max="2194" width="13.42578125" bestFit="1" customWidth="1"/>
    <col min="2195" max="2195" width="15.5703125" bestFit="1" customWidth="1"/>
    <col min="2196" max="2196" width="14" bestFit="1" customWidth="1"/>
    <col min="2197" max="2197" width="14.42578125" bestFit="1" customWidth="1"/>
    <col min="2198" max="2198" width="10.28515625" bestFit="1" customWidth="1"/>
    <col min="2199" max="2199" width="13.42578125" bestFit="1" customWidth="1"/>
    <col min="2200" max="2200" width="15.5703125" bestFit="1" customWidth="1"/>
    <col min="2201" max="2201" width="14" bestFit="1" customWidth="1"/>
    <col min="2202" max="2202" width="14.42578125" bestFit="1" customWidth="1"/>
    <col min="2203" max="2203" width="10.28515625" bestFit="1" customWidth="1"/>
    <col min="2204" max="2204" width="13.42578125" bestFit="1" customWidth="1"/>
    <col min="2205" max="2205" width="15.5703125" bestFit="1" customWidth="1"/>
    <col min="2206" max="2206" width="14" bestFit="1" customWidth="1"/>
    <col min="2207" max="2207" width="14.42578125" bestFit="1" customWidth="1"/>
    <col min="2208" max="2208" width="10.28515625" bestFit="1" customWidth="1"/>
    <col min="2209" max="2209" width="13.42578125" bestFit="1" customWidth="1"/>
    <col min="2210" max="2210" width="15.5703125" bestFit="1" customWidth="1"/>
    <col min="2211" max="2211" width="14" bestFit="1" customWidth="1"/>
    <col min="2212" max="2212" width="14.42578125" bestFit="1" customWidth="1"/>
    <col min="2213" max="2213" width="10.28515625" bestFit="1" customWidth="1"/>
    <col min="2214" max="2214" width="13.42578125" bestFit="1" customWidth="1"/>
    <col min="2215" max="2215" width="15.5703125" bestFit="1" customWidth="1"/>
    <col min="2216" max="2216" width="14" bestFit="1" customWidth="1"/>
    <col min="2217" max="2217" width="14.42578125" bestFit="1" customWidth="1"/>
    <col min="2218" max="2218" width="10.28515625" bestFit="1" customWidth="1"/>
    <col min="2219" max="2219" width="13.42578125" bestFit="1" customWidth="1"/>
    <col min="2220" max="2220" width="15.5703125" bestFit="1" customWidth="1"/>
    <col min="2221" max="2221" width="14" bestFit="1" customWidth="1"/>
    <col min="2222" max="2222" width="14.42578125" bestFit="1" customWidth="1"/>
    <col min="2223" max="2223" width="10.28515625" bestFit="1" customWidth="1"/>
    <col min="2224" max="2224" width="13.42578125" bestFit="1" customWidth="1"/>
    <col min="2225" max="2225" width="15.5703125" bestFit="1" customWidth="1"/>
    <col min="2226" max="2226" width="14" bestFit="1" customWidth="1"/>
    <col min="2227" max="2227" width="14.42578125" bestFit="1" customWidth="1"/>
    <col min="2228" max="2228" width="10.28515625" bestFit="1" customWidth="1"/>
    <col min="2229" max="2229" width="13.42578125" bestFit="1" customWidth="1"/>
    <col min="2230" max="2230" width="15.5703125" bestFit="1" customWidth="1"/>
    <col min="2231" max="2231" width="14" bestFit="1" customWidth="1"/>
    <col min="2232" max="2232" width="14.42578125" bestFit="1" customWidth="1"/>
    <col min="2233" max="2233" width="10.28515625" bestFit="1" customWidth="1"/>
    <col min="2234" max="2234" width="13.42578125" bestFit="1" customWidth="1"/>
    <col min="2235" max="2235" width="15.5703125" bestFit="1" customWidth="1"/>
    <col min="2236" max="2236" width="14" bestFit="1" customWidth="1"/>
    <col min="2237" max="2237" width="14.42578125" bestFit="1" customWidth="1"/>
    <col min="2238" max="2238" width="10.28515625" bestFit="1" customWidth="1"/>
    <col min="2239" max="2239" width="13.42578125" bestFit="1" customWidth="1"/>
    <col min="2240" max="2240" width="15.5703125" bestFit="1" customWidth="1"/>
    <col min="2241" max="2241" width="14" bestFit="1" customWidth="1"/>
    <col min="2242" max="2242" width="14.42578125" bestFit="1" customWidth="1"/>
    <col min="2243" max="2243" width="10.28515625" bestFit="1" customWidth="1"/>
    <col min="2244" max="2244" width="13.42578125" bestFit="1" customWidth="1"/>
    <col min="2245" max="2245" width="15.5703125" bestFit="1" customWidth="1"/>
    <col min="2246" max="2246" width="14" bestFit="1" customWidth="1"/>
    <col min="2247" max="2247" width="14.42578125" bestFit="1" customWidth="1"/>
    <col min="2248" max="2248" width="10.28515625" bestFit="1" customWidth="1"/>
    <col min="2249" max="2249" width="13.42578125" bestFit="1" customWidth="1"/>
    <col min="2250" max="2250" width="15.5703125" bestFit="1" customWidth="1"/>
    <col min="2251" max="2251" width="14" bestFit="1" customWidth="1"/>
    <col min="2252" max="2252" width="14.42578125" bestFit="1" customWidth="1"/>
    <col min="2253" max="2253" width="10.28515625" bestFit="1" customWidth="1"/>
    <col min="2254" max="2254" width="13.42578125" bestFit="1" customWidth="1"/>
    <col min="2255" max="2255" width="15.5703125" bestFit="1" customWidth="1"/>
    <col min="2256" max="2256" width="14" bestFit="1" customWidth="1"/>
    <col min="2257" max="2257" width="14.42578125" bestFit="1" customWidth="1"/>
    <col min="2258" max="2258" width="10.28515625" bestFit="1" customWidth="1"/>
    <col min="2259" max="2259" width="13.42578125" bestFit="1" customWidth="1"/>
    <col min="2260" max="2260" width="15.5703125" bestFit="1" customWidth="1"/>
    <col min="2261" max="2261" width="14" bestFit="1" customWidth="1"/>
    <col min="2262" max="2262" width="14.42578125" bestFit="1" customWidth="1"/>
    <col min="2263" max="2263" width="10.28515625" bestFit="1" customWidth="1"/>
    <col min="2264" max="2264" width="13.42578125" bestFit="1" customWidth="1"/>
    <col min="2265" max="2265" width="15.5703125" bestFit="1" customWidth="1"/>
    <col min="2266" max="2266" width="14" bestFit="1" customWidth="1"/>
    <col min="2267" max="2267" width="14.42578125" bestFit="1" customWidth="1"/>
    <col min="2268" max="2268" width="10.28515625" bestFit="1" customWidth="1"/>
    <col min="2269" max="2269" width="13.42578125" bestFit="1" customWidth="1"/>
    <col min="2270" max="2270" width="15.5703125" bestFit="1" customWidth="1"/>
    <col min="2271" max="2271" width="14" bestFit="1" customWidth="1"/>
    <col min="2272" max="2272" width="14.42578125" bestFit="1" customWidth="1"/>
    <col min="2273" max="2273" width="10.28515625" bestFit="1" customWidth="1"/>
    <col min="2274" max="2274" width="13.42578125" bestFit="1" customWidth="1"/>
    <col min="2275" max="2275" width="15.5703125" bestFit="1" customWidth="1"/>
    <col min="2276" max="2276" width="14" bestFit="1" customWidth="1"/>
    <col min="2277" max="2277" width="14.42578125" bestFit="1" customWidth="1"/>
    <col min="2278" max="2278" width="10.28515625" bestFit="1" customWidth="1"/>
    <col min="2279" max="2279" width="13.42578125" bestFit="1" customWidth="1"/>
    <col min="2280" max="2280" width="15.5703125" bestFit="1" customWidth="1"/>
    <col min="2281" max="2281" width="14" bestFit="1" customWidth="1"/>
    <col min="2282" max="2282" width="14.42578125" bestFit="1" customWidth="1"/>
    <col min="2283" max="2283" width="10.28515625" bestFit="1" customWidth="1"/>
    <col min="2284" max="2284" width="13.42578125" bestFit="1" customWidth="1"/>
    <col min="2285" max="2285" width="15.5703125" bestFit="1" customWidth="1"/>
    <col min="2286" max="2286" width="14" bestFit="1" customWidth="1"/>
    <col min="2287" max="2287" width="14.42578125" bestFit="1" customWidth="1"/>
    <col min="2288" max="2288" width="10.28515625" bestFit="1" customWidth="1"/>
    <col min="2289" max="2289" width="13.42578125" bestFit="1" customWidth="1"/>
    <col min="2290" max="2290" width="15.5703125" bestFit="1" customWidth="1"/>
    <col min="2291" max="2291" width="14" bestFit="1" customWidth="1"/>
    <col min="2292" max="2292" width="14.42578125" bestFit="1" customWidth="1"/>
    <col min="2293" max="2293" width="10.28515625" bestFit="1" customWidth="1"/>
    <col min="2294" max="2294" width="13.42578125" bestFit="1" customWidth="1"/>
    <col min="2295" max="2295" width="15.5703125" bestFit="1" customWidth="1"/>
    <col min="2296" max="2296" width="14" bestFit="1" customWidth="1"/>
    <col min="2297" max="2297" width="14.42578125" bestFit="1" customWidth="1"/>
    <col min="2298" max="2298" width="10.28515625" bestFit="1" customWidth="1"/>
    <col min="2299" max="2299" width="13.42578125" bestFit="1" customWidth="1"/>
    <col min="2300" max="2300" width="15.5703125" bestFit="1" customWidth="1"/>
    <col min="2301" max="2301" width="14" bestFit="1" customWidth="1"/>
    <col min="2302" max="2302" width="14.42578125" bestFit="1" customWidth="1"/>
    <col min="2303" max="2303" width="10.28515625" bestFit="1" customWidth="1"/>
    <col min="2304" max="2304" width="13.42578125" bestFit="1" customWidth="1"/>
    <col min="2305" max="2305" width="15.5703125" bestFit="1" customWidth="1"/>
    <col min="2306" max="2306" width="14" bestFit="1" customWidth="1"/>
    <col min="2307" max="2307" width="14.42578125" bestFit="1" customWidth="1"/>
    <col min="2308" max="2308" width="10.28515625" bestFit="1" customWidth="1"/>
    <col min="2309" max="2309" width="13.42578125" bestFit="1" customWidth="1"/>
    <col min="2310" max="2310" width="15.5703125" bestFit="1" customWidth="1"/>
    <col min="2311" max="2311" width="14" bestFit="1" customWidth="1"/>
    <col min="2312" max="2312" width="14.42578125" bestFit="1" customWidth="1"/>
    <col min="2313" max="2313" width="10.28515625" bestFit="1" customWidth="1"/>
    <col min="2314" max="2314" width="13.42578125" bestFit="1" customWidth="1"/>
    <col min="2315" max="2315" width="15.5703125" bestFit="1" customWidth="1"/>
    <col min="2316" max="2316" width="14" bestFit="1" customWidth="1"/>
    <col min="2317" max="2317" width="14.42578125" bestFit="1" customWidth="1"/>
    <col min="2318" max="2318" width="10.28515625" bestFit="1" customWidth="1"/>
    <col min="2319" max="2319" width="13.42578125" bestFit="1" customWidth="1"/>
    <col min="2320" max="2320" width="15.5703125" bestFit="1" customWidth="1"/>
    <col min="2321" max="2321" width="14" bestFit="1" customWidth="1"/>
    <col min="2322" max="2322" width="14.42578125" bestFit="1" customWidth="1"/>
    <col min="2323" max="2323" width="10.28515625" bestFit="1" customWidth="1"/>
    <col min="2324" max="2324" width="13.42578125" bestFit="1" customWidth="1"/>
    <col min="2325" max="2325" width="15.5703125" bestFit="1" customWidth="1"/>
    <col min="2326" max="2326" width="14" bestFit="1" customWidth="1"/>
    <col min="2327" max="2327" width="14.42578125" bestFit="1" customWidth="1"/>
    <col min="2328" max="2328" width="10.28515625" bestFit="1" customWidth="1"/>
    <col min="2329" max="2329" width="13.42578125" bestFit="1" customWidth="1"/>
    <col min="2330" max="2330" width="15.5703125" bestFit="1" customWidth="1"/>
    <col min="2331" max="2331" width="14" bestFit="1" customWidth="1"/>
    <col min="2332" max="2332" width="14.42578125" bestFit="1" customWidth="1"/>
    <col min="2333" max="2333" width="10.28515625" bestFit="1" customWidth="1"/>
    <col min="2334" max="2334" width="13.42578125" bestFit="1" customWidth="1"/>
    <col min="2335" max="2335" width="15.5703125" bestFit="1" customWidth="1"/>
    <col min="2336" max="2336" width="14" bestFit="1" customWidth="1"/>
    <col min="2337" max="2337" width="14.42578125" bestFit="1" customWidth="1"/>
    <col min="2338" max="2338" width="10.28515625" bestFit="1" customWidth="1"/>
    <col min="2339" max="2339" width="13.42578125" bestFit="1" customWidth="1"/>
    <col min="2340" max="2340" width="15.5703125" bestFit="1" customWidth="1"/>
    <col min="2341" max="2341" width="14" bestFit="1" customWidth="1"/>
    <col min="2342" max="2342" width="14.42578125" bestFit="1" customWidth="1"/>
    <col min="2343" max="2343" width="10.28515625" bestFit="1" customWidth="1"/>
    <col min="2344" max="2344" width="13.42578125" bestFit="1" customWidth="1"/>
    <col min="2345" max="2345" width="15.5703125" bestFit="1" customWidth="1"/>
    <col min="2346" max="2346" width="14" bestFit="1" customWidth="1"/>
    <col min="2347" max="2347" width="14.42578125" bestFit="1" customWidth="1"/>
    <col min="2348" max="2348" width="10.28515625" bestFit="1" customWidth="1"/>
    <col min="2349" max="2349" width="13.42578125" bestFit="1" customWidth="1"/>
    <col min="2350" max="2350" width="15.5703125" bestFit="1" customWidth="1"/>
    <col min="2351" max="2351" width="14" bestFit="1" customWidth="1"/>
    <col min="2352" max="2352" width="14.42578125" bestFit="1" customWidth="1"/>
    <col min="2353" max="2353" width="10.28515625" bestFit="1" customWidth="1"/>
    <col min="2354" max="2354" width="13.42578125" bestFit="1" customWidth="1"/>
    <col min="2355" max="2355" width="15.5703125" bestFit="1" customWidth="1"/>
    <col min="2356" max="2356" width="14" bestFit="1" customWidth="1"/>
    <col min="2357" max="2357" width="14.42578125" bestFit="1" customWidth="1"/>
    <col min="2358" max="2358" width="10.28515625" bestFit="1" customWidth="1"/>
    <col min="2359" max="2359" width="13.42578125" bestFit="1" customWidth="1"/>
    <col min="2360" max="2360" width="15.5703125" bestFit="1" customWidth="1"/>
    <col min="2361" max="2361" width="14" bestFit="1" customWidth="1"/>
    <col min="2362" max="2362" width="14.42578125" bestFit="1" customWidth="1"/>
    <col min="2363" max="2363" width="10.28515625" bestFit="1" customWidth="1"/>
    <col min="2364" max="2364" width="13.42578125" bestFit="1" customWidth="1"/>
    <col min="2365" max="2365" width="15.5703125" bestFit="1" customWidth="1"/>
    <col min="2366" max="2366" width="14" bestFit="1" customWidth="1"/>
    <col min="2367" max="2367" width="14.42578125" bestFit="1" customWidth="1"/>
    <col min="2368" max="2368" width="10.28515625" bestFit="1" customWidth="1"/>
    <col min="2369" max="2369" width="13.42578125" bestFit="1" customWidth="1"/>
    <col min="2370" max="2370" width="15.5703125" bestFit="1" customWidth="1"/>
    <col min="2371" max="2371" width="14" bestFit="1" customWidth="1"/>
    <col min="2372" max="2372" width="14.42578125" bestFit="1" customWidth="1"/>
    <col min="2373" max="2373" width="10.28515625" bestFit="1" customWidth="1"/>
    <col min="2374" max="2374" width="13.42578125" bestFit="1" customWidth="1"/>
    <col min="2375" max="2375" width="15.5703125" bestFit="1" customWidth="1"/>
    <col min="2376" max="2376" width="14" bestFit="1" customWidth="1"/>
    <col min="2377" max="2377" width="14.42578125" bestFit="1" customWidth="1"/>
    <col min="2378" max="2378" width="10.28515625" bestFit="1" customWidth="1"/>
    <col min="2379" max="2379" width="13.42578125" bestFit="1" customWidth="1"/>
    <col min="2380" max="2380" width="15.5703125" bestFit="1" customWidth="1"/>
    <col min="2381" max="2381" width="14" bestFit="1" customWidth="1"/>
    <col min="2382" max="2382" width="14.42578125" bestFit="1" customWidth="1"/>
    <col min="2383" max="2383" width="10.28515625" bestFit="1" customWidth="1"/>
    <col min="2384" max="2384" width="13.42578125" bestFit="1" customWidth="1"/>
    <col min="2385" max="2385" width="15.5703125" bestFit="1" customWidth="1"/>
    <col min="2386" max="2386" width="14" bestFit="1" customWidth="1"/>
    <col min="2387" max="2387" width="14.42578125" bestFit="1" customWidth="1"/>
    <col min="2388" max="2388" width="10.28515625" bestFit="1" customWidth="1"/>
    <col min="2389" max="2389" width="13.42578125" bestFit="1" customWidth="1"/>
    <col min="2390" max="2390" width="15.5703125" bestFit="1" customWidth="1"/>
    <col min="2391" max="2391" width="14" bestFit="1" customWidth="1"/>
    <col min="2392" max="2392" width="14.42578125" bestFit="1" customWidth="1"/>
    <col min="2393" max="2393" width="10.28515625" bestFit="1" customWidth="1"/>
    <col min="2394" max="2394" width="13.42578125" bestFit="1" customWidth="1"/>
    <col min="2395" max="2395" width="15.5703125" bestFit="1" customWidth="1"/>
    <col min="2396" max="2396" width="14" bestFit="1" customWidth="1"/>
    <col min="2397" max="2397" width="14.42578125" bestFit="1" customWidth="1"/>
    <col min="2398" max="2398" width="10.28515625" bestFit="1" customWidth="1"/>
    <col min="2399" max="2399" width="13.42578125" bestFit="1" customWidth="1"/>
    <col min="2400" max="2400" width="15.5703125" bestFit="1" customWidth="1"/>
    <col min="2401" max="2401" width="14" bestFit="1" customWidth="1"/>
    <col min="2402" max="2402" width="14.42578125" bestFit="1" customWidth="1"/>
    <col min="2403" max="2403" width="10.28515625" bestFit="1" customWidth="1"/>
    <col min="2404" max="2404" width="13.42578125" bestFit="1" customWidth="1"/>
    <col min="2405" max="2405" width="15.5703125" bestFit="1" customWidth="1"/>
    <col min="2406" max="2406" width="14" bestFit="1" customWidth="1"/>
    <col min="2407" max="2407" width="14.42578125" bestFit="1" customWidth="1"/>
    <col min="2408" max="2408" width="10.28515625" bestFit="1" customWidth="1"/>
    <col min="2409" max="2409" width="13.42578125" bestFit="1" customWidth="1"/>
    <col min="2410" max="2410" width="15.5703125" bestFit="1" customWidth="1"/>
    <col min="2411" max="2411" width="14" bestFit="1" customWidth="1"/>
    <col min="2412" max="2412" width="14.42578125" bestFit="1" customWidth="1"/>
    <col min="2413" max="2413" width="10.28515625" bestFit="1" customWidth="1"/>
    <col min="2414" max="2414" width="13.42578125" bestFit="1" customWidth="1"/>
    <col min="2415" max="2415" width="15.5703125" bestFit="1" customWidth="1"/>
    <col min="2416" max="2416" width="14" bestFit="1" customWidth="1"/>
    <col min="2417" max="2417" width="14.42578125" bestFit="1" customWidth="1"/>
    <col min="2418" max="2418" width="10.28515625" bestFit="1" customWidth="1"/>
    <col min="2419" max="2419" width="13.42578125" bestFit="1" customWidth="1"/>
    <col min="2420" max="2420" width="15.5703125" bestFit="1" customWidth="1"/>
    <col min="2421" max="2421" width="14" bestFit="1" customWidth="1"/>
    <col min="2422" max="2422" width="14.42578125" bestFit="1" customWidth="1"/>
    <col min="2423" max="2423" width="10.28515625" bestFit="1" customWidth="1"/>
    <col min="2424" max="2424" width="13.42578125" bestFit="1" customWidth="1"/>
    <col min="2425" max="2425" width="15.5703125" bestFit="1" customWidth="1"/>
    <col min="2426" max="2426" width="14" bestFit="1" customWidth="1"/>
    <col min="2427" max="2427" width="14.42578125" bestFit="1" customWidth="1"/>
    <col min="2428" max="2428" width="10.28515625" bestFit="1" customWidth="1"/>
    <col min="2429" max="2429" width="13.42578125" bestFit="1" customWidth="1"/>
    <col min="2430" max="2430" width="15.5703125" bestFit="1" customWidth="1"/>
    <col min="2431" max="2431" width="14" bestFit="1" customWidth="1"/>
    <col min="2432" max="2432" width="14.42578125" bestFit="1" customWidth="1"/>
    <col min="2433" max="2433" width="10.28515625" bestFit="1" customWidth="1"/>
    <col min="2434" max="2434" width="13.42578125" bestFit="1" customWidth="1"/>
    <col min="2435" max="2435" width="15.5703125" bestFit="1" customWidth="1"/>
    <col min="2436" max="2436" width="14" bestFit="1" customWidth="1"/>
    <col min="2437" max="2437" width="14.42578125" bestFit="1" customWidth="1"/>
    <col min="2438" max="2438" width="10.28515625" bestFit="1" customWidth="1"/>
    <col min="2439" max="2439" width="13.42578125" bestFit="1" customWidth="1"/>
    <col min="2440" max="2440" width="15.5703125" bestFit="1" customWidth="1"/>
    <col min="2441" max="2441" width="14" bestFit="1" customWidth="1"/>
    <col min="2442" max="2442" width="14.42578125" bestFit="1" customWidth="1"/>
    <col min="2443" max="2443" width="10.28515625" bestFit="1" customWidth="1"/>
    <col min="2444" max="2444" width="13.42578125" bestFit="1" customWidth="1"/>
    <col min="2445" max="2445" width="15.5703125" bestFit="1" customWidth="1"/>
    <col min="2446" max="2446" width="14" bestFit="1" customWidth="1"/>
    <col min="2447" max="2447" width="14.42578125" bestFit="1" customWidth="1"/>
    <col min="2448" max="2448" width="10.28515625" bestFit="1" customWidth="1"/>
    <col min="2449" max="2449" width="13.42578125" bestFit="1" customWidth="1"/>
    <col min="2450" max="2450" width="15.5703125" bestFit="1" customWidth="1"/>
    <col min="2451" max="2451" width="14" bestFit="1" customWidth="1"/>
    <col min="2452" max="2452" width="14.42578125" bestFit="1" customWidth="1"/>
    <col min="2453" max="2453" width="10.28515625" bestFit="1" customWidth="1"/>
    <col min="2454" max="2454" width="13.42578125" bestFit="1" customWidth="1"/>
    <col min="2455" max="2455" width="15.5703125" bestFit="1" customWidth="1"/>
    <col min="2456" max="2456" width="14" bestFit="1" customWidth="1"/>
    <col min="2457" max="2457" width="14.42578125" bestFit="1" customWidth="1"/>
    <col min="2458" max="2458" width="10.28515625" bestFit="1" customWidth="1"/>
    <col min="2459" max="2459" width="13.42578125" bestFit="1" customWidth="1"/>
    <col min="2460" max="2460" width="15.5703125" bestFit="1" customWidth="1"/>
    <col min="2461" max="2461" width="14" bestFit="1" customWidth="1"/>
    <col min="2462" max="2462" width="14.42578125" bestFit="1" customWidth="1"/>
    <col min="2463" max="2463" width="10.28515625" bestFit="1" customWidth="1"/>
    <col min="2464" max="2464" width="13.42578125" bestFit="1" customWidth="1"/>
    <col min="2465" max="2465" width="15.5703125" bestFit="1" customWidth="1"/>
    <col min="2466" max="2466" width="14" bestFit="1" customWidth="1"/>
    <col min="2467" max="2467" width="14.42578125" bestFit="1" customWidth="1"/>
    <col min="2468" max="2468" width="10.28515625" bestFit="1" customWidth="1"/>
    <col min="2469" max="2469" width="13.42578125" bestFit="1" customWidth="1"/>
    <col min="2470" max="2470" width="15.5703125" bestFit="1" customWidth="1"/>
    <col min="2471" max="2471" width="14" bestFit="1" customWidth="1"/>
    <col min="2472" max="2472" width="14.42578125" bestFit="1" customWidth="1"/>
    <col min="2473" max="2473" width="10.28515625" bestFit="1" customWidth="1"/>
    <col min="2474" max="2474" width="13.42578125" bestFit="1" customWidth="1"/>
    <col min="2475" max="2475" width="15.5703125" bestFit="1" customWidth="1"/>
    <col min="2476" max="2476" width="14" bestFit="1" customWidth="1"/>
    <col min="2477" max="2477" width="14.42578125" bestFit="1" customWidth="1"/>
    <col min="2478" max="2478" width="10.28515625" bestFit="1" customWidth="1"/>
    <col min="2479" max="2479" width="13.42578125" bestFit="1" customWidth="1"/>
    <col min="2480" max="2480" width="15.5703125" bestFit="1" customWidth="1"/>
    <col min="2481" max="2481" width="14" bestFit="1" customWidth="1"/>
    <col min="2482" max="2482" width="14.42578125" bestFit="1" customWidth="1"/>
    <col min="2483" max="2483" width="10.28515625" bestFit="1" customWidth="1"/>
    <col min="2484" max="2484" width="13.42578125" bestFit="1" customWidth="1"/>
    <col min="2485" max="2485" width="15.5703125" bestFit="1" customWidth="1"/>
    <col min="2486" max="2486" width="14" bestFit="1" customWidth="1"/>
    <col min="2487" max="2487" width="14.42578125" bestFit="1" customWidth="1"/>
    <col min="2488" max="2488" width="10.28515625" bestFit="1" customWidth="1"/>
    <col min="2489" max="2489" width="13.42578125" bestFit="1" customWidth="1"/>
    <col min="2490" max="2490" width="15.5703125" bestFit="1" customWidth="1"/>
    <col min="2491" max="2491" width="14" bestFit="1" customWidth="1"/>
    <col min="2492" max="2492" width="14.42578125" bestFit="1" customWidth="1"/>
    <col min="2493" max="2493" width="10.28515625" bestFit="1" customWidth="1"/>
    <col min="2494" max="2494" width="13.42578125" bestFit="1" customWidth="1"/>
    <col min="2495" max="2495" width="15.5703125" bestFit="1" customWidth="1"/>
    <col min="2496" max="2496" width="14" bestFit="1" customWidth="1"/>
    <col min="2497" max="2497" width="14.42578125" bestFit="1" customWidth="1"/>
    <col min="2498" max="2498" width="10.28515625" bestFit="1" customWidth="1"/>
    <col min="2499" max="2499" width="13.42578125" bestFit="1" customWidth="1"/>
    <col min="2500" max="2500" width="15.5703125" bestFit="1" customWidth="1"/>
    <col min="2501" max="2501" width="14" bestFit="1" customWidth="1"/>
    <col min="2502" max="2502" width="14.42578125" bestFit="1" customWidth="1"/>
    <col min="2503" max="2503" width="10.28515625" bestFit="1" customWidth="1"/>
    <col min="2504" max="2504" width="13.42578125" bestFit="1" customWidth="1"/>
    <col min="2505" max="2505" width="15.5703125" bestFit="1" customWidth="1"/>
    <col min="2506" max="2506" width="14" bestFit="1" customWidth="1"/>
    <col min="2507" max="2507" width="14.42578125" bestFit="1" customWidth="1"/>
    <col min="2508" max="2508" width="10.28515625" bestFit="1" customWidth="1"/>
    <col min="2509" max="2509" width="13.42578125" bestFit="1" customWidth="1"/>
    <col min="2510" max="2510" width="15.5703125" bestFit="1" customWidth="1"/>
    <col min="2511" max="2511" width="14" bestFit="1" customWidth="1"/>
    <col min="2512" max="2512" width="14.42578125" bestFit="1" customWidth="1"/>
    <col min="2513" max="2513" width="10.28515625" bestFit="1" customWidth="1"/>
    <col min="2514" max="2514" width="13.42578125" bestFit="1" customWidth="1"/>
    <col min="2515" max="2515" width="15.5703125" bestFit="1" customWidth="1"/>
    <col min="2516" max="2516" width="14" bestFit="1" customWidth="1"/>
    <col min="2517" max="2517" width="14.42578125" bestFit="1" customWidth="1"/>
    <col min="2518" max="2518" width="10.28515625" bestFit="1" customWidth="1"/>
    <col min="2519" max="2519" width="13.42578125" bestFit="1" customWidth="1"/>
    <col min="2520" max="2520" width="15.5703125" bestFit="1" customWidth="1"/>
    <col min="2521" max="2521" width="14" bestFit="1" customWidth="1"/>
    <col min="2522" max="2522" width="14.42578125" bestFit="1" customWidth="1"/>
    <col min="2523" max="2523" width="10.28515625" bestFit="1" customWidth="1"/>
    <col min="2524" max="2524" width="13.42578125" bestFit="1" customWidth="1"/>
    <col min="2525" max="2525" width="15.5703125" bestFit="1" customWidth="1"/>
    <col min="2526" max="2526" width="14" bestFit="1" customWidth="1"/>
    <col min="2527" max="2527" width="14.42578125" bestFit="1" customWidth="1"/>
    <col min="2528" max="2528" width="10.28515625" bestFit="1" customWidth="1"/>
    <col min="2529" max="2529" width="13.42578125" bestFit="1" customWidth="1"/>
    <col min="2530" max="2530" width="15.5703125" bestFit="1" customWidth="1"/>
    <col min="2531" max="2531" width="14" bestFit="1" customWidth="1"/>
    <col min="2532" max="2532" width="14.42578125" bestFit="1" customWidth="1"/>
    <col min="2533" max="2533" width="10.28515625" bestFit="1" customWidth="1"/>
    <col min="2534" max="2534" width="13.42578125" bestFit="1" customWidth="1"/>
    <col min="2535" max="2535" width="15.5703125" bestFit="1" customWidth="1"/>
    <col min="2536" max="2536" width="14" bestFit="1" customWidth="1"/>
    <col min="2537" max="2537" width="14.42578125" bestFit="1" customWidth="1"/>
    <col min="2538" max="2538" width="10.28515625" bestFit="1" customWidth="1"/>
    <col min="2539" max="2539" width="13.42578125" bestFit="1" customWidth="1"/>
    <col min="2540" max="2540" width="15.5703125" bestFit="1" customWidth="1"/>
    <col min="2541" max="2541" width="14" bestFit="1" customWidth="1"/>
    <col min="2542" max="2542" width="14.42578125" bestFit="1" customWidth="1"/>
    <col min="2543" max="2543" width="10.28515625" bestFit="1" customWidth="1"/>
    <col min="2544" max="2544" width="13.42578125" bestFit="1" customWidth="1"/>
    <col min="2545" max="2545" width="15.5703125" bestFit="1" customWidth="1"/>
    <col min="2546" max="2546" width="14" bestFit="1" customWidth="1"/>
    <col min="2547" max="2547" width="14.42578125" bestFit="1" customWidth="1"/>
    <col min="2548" max="2548" width="10.28515625" bestFit="1" customWidth="1"/>
    <col min="2549" max="2549" width="13.42578125" bestFit="1" customWidth="1"/>
    <col min="2550" max="2550" width="15.5703125" bestFit="1" customWidth="1"/>
    <col min="2551" max="2551" width="14" bestFit="1" customWidth="1"/>
    <col min="2552" max="2552" width="14.42578125" bestFit="1" customWidth="1"/>
    <col min="2553" max="2553" width="10.28515625" bestFit="1" customWidth="1"/>
    <col min="2554" max="2554" width="13.42578125" bestFit="1" customWidth="1"/>
    <col min="2555" max="2555" width="15.5703125" bestFit="1" customWidth="1"/>
    <col min="2556" max="2556" width="14" bestFit="1" customWidth="1"/>
    <col min="2557" max="2557" width="14.42578125" bestFit="1" customWidth="1"/>
    <col min="2558" max="2558" width="10.28515625" bestFit="1" customWidth="1"/>
    <col min="2559" max="2559" width="13.42578125" bestFit="1" customWidth="1"/>
    <col min="2560" max="2560" width="15.5703125" bestFit="1" customWidth="1"/>
    <col min="2561" max="2561" width="14" bestFit="1" customWidth="1"/>
    <col min="2562" max="2562" width="14.42578125" bestFit="1" customWidth="1"/>
    <col min="2563" max="2563" width="10.28515625" bestFit="1" customWidth="1"/>
    <col min="2564" max="2564" width="13.42578125" bestFit="1" customWidth="1"/>
    <col min="2565" max="2565" width="15.5703125" bestFit="1" customWidth="1"/>
    <col min="2566" max="2566" width="14" bestFit="1" customWidth="1"/>
    <col min="2567" max="2567" width="14.42578125" bestFit="1" customWidth="1"/>
    <col min="2568" max="2568" width="10.28515625" bestFit="1" customWidth="1"/>
    <col min="2569" max="2569" width="13.42578125" bestFit="1" customWidth="1"/>
    <col min="2570" max="2570" width="15.5703125" bestFit="1" customWidth="1"/>
    <col min="2571" max="2571" width="14" bestFit="1" customWidth="1"/>
    <col min="2572" max="2572" width="14.42578125" bestFit="1" customWidth="1"/>
    <col min="2573" max="2573" width="10.28515625" bestFit="1" customWidth="1"/>
    <col min="2574" max="2574" width="13.42578125" bestFit="1" customWidth="1"/>
    <col min="2575" max="2575" width="15.5703125" bestFit="1" customWidth="1"/>
    <col min="2576" max="2576" width="14" bestFit="1" customWidth="1"/>
    <col min="2577" max="2577" width="14.42578125" bestFit="1" customWidth="1"/>
    <col min="2578" max="2578" width="10.28515625" bestFit="1" customWidth="1"/>
    <col min="2579" max="2579" width="13.42578125" bestFit="1" customWidth="1"/>
    <col min="2580" max="2580" width="15.5703125" bestFit="1" customWidth="1"/>
    <col min="2581" max="2581" width="14" bestFit="1" customWidth="1"/>
    <col min="2582" max="2582" width="14.42578125" bestFit="1" customWidth="1"/>
    <col min="2583" max="2583" width="10.28515625" bestFit="1" customWidth="1"/>
    <col min="2584" max="2584" width="13.42578125" bestFit="1" customWidth="1"/>
    <col min="2585" max="2585" width="15.5703125" bestFit="1" customWidth="1"/>
    <col min="2586" max="2586" width="14" bestFit="1" customWidth="1"/>
    <col min="2587" max="2587" width="14.42578125" bestFit="1" customWidth="1"/>
    <col min="2588" max="2588" width="10.28515625" bestFit="1" customWidth="1"/>
    <col min="2589" max="2589" width="13.42578125" bestFit="1" customWidth="1"/>
    <col min="2590" max="2590" width="15.5703125" bestFit="1" customWidth="1"/>
    <col min="2591" max="2591" width="14" bestFit="1" customWidth="1"/>
    <col min="2592" max="2592" width="14.42578125" bestFit="1" customWidth="1"/>
    <col min="2593" max="2593" width="10.28515625" bestFit="1" customWidth="1"/>
    <col min="2594" max="2594" width="13.42578125" bestFit="1" customWidth="1"/>
    <col min="2595" max="2595" width="15.5703125" bestFit="1" customWidth="1"/>
    <col min="2596" max="2596" width="14" bestFit="1" customWidth="1"/>
    <col min="2597" max="2597" width="14.42578125" bestFit="1" customWidth="1"/>
    <col min="2598" max="2598" width="10.28515625" bestFit="1" customWidth="1"/>
    <col min="2599" max="2599" width="13.42578125" bestFit="1" customWidth="1"/>
    <col min="2600" max="2600" width="15.5703125" bestFit="1" customWidth="1"/>
    <col min="2601" max="2601" width="14" bestFit="1" customWidth="1"/>
    <col min="2602" max="2602" width="14.42578125" bestFit="1" customWidth="1"/>
    <col min="2603" max="2603" width="10.28515625" bestFit="1" customWidth="1"/>
    <col min="2604" max="2604" width="13.42578125" bestFit="1" customWidth="1"/>
    <col min="2605" max="2605" width="15.5703125" bestFit="1" customWidth="1"/>
    <col min="2606" max="2606" width="14" bestFit="1" customWidth="1"/>
    <col min="2607" max="2607" width="14.42578125" bestFit="1" customWidth="1"/>
    <col min="2608" max="2608" width="10.28515625" bestFit="1" customWidth="1"/>
    <col min="2609" max="2609" width="13.42578125" bestFit="1" customWidth="1"/>
    <col min="2610" max="2610" width="15.5703125" bestFit="1" customWidth="1"/>
    <col min="2611" max="2611" width="14" bestFit="1" customWidth="1"/>
    <col min="2612" max="2612" width="14.42578125" bestFit="1" customWidth="1"/>
    <col min="2613" max="2613" width="10.28515625" bestFit="1" customWidth="1"/>
    <col min="2614" max="2614" width="13.42578125" bestFit="1" customWidth="1"/>
    <col min="2615" max="2615" width="15.5703125" bestFit="1" customWidth="1"/>
    <col min="2616" max="2616" width="14" bestFit="1" customWidth="1"/>
    <col min="2617" max="2617" width="14.42578125" bestFit="1" customWidth="1"/>
    <col min="2618" max="2618" width="10.28515625" bestFit="1" customWidth="1"/>
    <col min="2619" max="2619" width="13.42578125" bestFit="1" customWidth="1"/>
    <col min="2620" max="2620" width="15.5703125" bestFit="1" customWidth="1"/>
    <col min="2621" max="2621" width="14" bestFit="1" customWidth="1"/>
    <col min="2622" max="2622" width="14.42578125" bestFit="1" customWidth="1"/>
    <col min="2623" max="2623" width="10.28515625" bestFit="1" customWidth="1"/>
    <col min="2624" max="2624" width="13.42578125" bestFit="1" customWidth="1"/>
    <col min="2625" max="2625" width="15.5703125" bestFit="1" customWidth="1"/>
    <col min="2626" max="2626" width="14" bestFit="1" customWidth="1"/>
    <col min="2627" max="2627" width="14.42578125" bestFit="1" customWidth="1"/>
    <col min="2628" max="2628" width="10.28515625" bestFit="1" customWidth="1"/>
    <col min="2629" max="2629" width="13.42578125" bestFit="1" customWidth="1"/>
    <col min="2630" max="2630" width="15.5703125" bestFit="1" customWidth="1"/>
    <col min="2631" max="2631" width="14" bestFit="1" customWidth="1"/>
    <col min="2632" max="2632" width="14.42578125" bestFit="1" customWidth="1"/>
    <col min="2633" max="2633" width="10.28515625" bestFit="1" customWidth="1"/>
    <col min="2634" max="2634" width="13.42578125" bestFit="1" customWidth="1"/>
    <col min="2635" max="2635" width="15.5703125" bestFit="1" customWidth="1"/>
    <col min="2636" max="2636" width="14" bestFit="1" customWidth="1"/>
    <col min="2637" max="2637" width="14.42578125" bestFit="1" customWidth="1"/>
    <col min="2638" max="2638" width="10.28515625" bestFit="1" customWidth="1"/>
    <col min="2639" max="2639" width="13.42578125" bestFit="1" customWidth="1"/>
    <col min="2640" max="2640" width="15.5703125" bestFit="1" customWidth="1"/>
    <col min="2641" max="2641" width="14" bestFit="1" customWidth="1"/>
    <col min="2642" max="2642" width="14.42578125" bestFit="1" customWidth="1"/>
    <col min="2643" max="2643" width="10.28515625" bestFit="1" customWidth="1"/>
    <col min="2644" max="2644" width="13.42578125" bestFit="1" customWidth="1"/>
    <col min="2645" max="2645" width="15.5703125" bestFit="1" customWidth="1"/>
    <col min="2646" max="2646" width="14" bestFit="1" customWidth="1"/>
    <col min="2647" max="2647" width="14.42578125" bestFit="1" customWidth="1"/>
    <col min="2648" max="2648" width="10.28515625" bestFit="1" customWidth="1"/>
    <col min="2649" max="2649" width="13.42578125" bestFit="1" customWidth="1"/>
    <col min="2650" max="2650" width="15.5703125" bestFit="1" customWidth="1"/>
    <col min="2651" max="2651" width="14" bestFit="1" customWidth="1"/>
    <col min="2652" max="2652" width="14.42578125" bestFit="1" customWidth="1"/>
    <col min="2653" max="2653" width="10.28515625" bestFit="1" customWidth="1"/>
    <col min="2654" max="2654" width="13.42578125" bestFit="1" customWidth="1"/>
    <col min="2655" max="2655" width="15.5703125" bestFit="1" customWidth="1"/>
    <col min="2656" max="2656" width="14" bestFit="1" customWidth="1"/>
    <col min="2657" max="2657" width="14.42578125" bestFit="1" customWidth="1"/>
    <col min="2658" max="2658" width="10.28515625" bestFit="1" customWidth="1"/>
    <col min="2659" max="2659" width="13.42578125" bestFit="1" customWidth="1"/>
    <col min="2660" max="2660" width="15.5703125" bestFit="1" customWidth="1"/>
    <col min="2661" max="2661" width="14" bestFit="1" customWidth="1"/>
    <col min="2662" max="2662" width="14.42578125" bestFit="1" customWidth="1"/>
    <col min="2663" max="2663" width="10.28515625" bestFit="1" customWidth="1"/>
    <col min="2664" max="2664" width="13.42578125" bestFit="1" customWidth="1"/>
    <col min="2665" max="2665" width="15.5703125" bestFit="1" customWidth="1"/>
    <col min="2666" max="2666" width="14" bestFit="1" customWidth="1"/>
    <col min="2667" max="2667" width="14.42578125" bestFit="1" customWidth="1"/>
    <col min="2668" max="2668" width="10.28515625" bestFit="1" customWidth="1"/>
    <col min="2669" max="2669" width="13.42578125" bestFit="1" customWidth="1"/>
    <col min="2670" max="2670" width="15.5703125" bestFit="1" customWidth="1"/>
    <col min="2671" max="2671" width="14" bestFit="1" customWidth="1"/>
    <col min="2672" max="2672" width="14.42578125" bestFit="1" customWidth="1"/>
    <col min="2673" max="2673" width="10.28515625" bestFit="1" customWidth="1"/>
    <col min="2674" max="2674" width="13.42578125" bestFit="1" customWidth="1"/>
    <col min="2675" max="2675" width="15.5703125" bestFit="1" customWidth="1"/>
    <col min="2676" max="2676" width="14" bestFit="1" customWidth="1"/>
    <col min="2677" max="2677" width="14.42578125" bestFit="1" customWidth="1"/>
    <col min="2678" max="2678" width="10.28515625" bestFit="1" customWidth="1"/>
    <col min="2679" max="2679" width="13.42578125" bestFit="1" customWidth="1"/>
    <col min="2680" max="2680" width="15.5703125" bestFit="1" customWidth="1"/>
    <col min="2681" max="2681" width="14" bestFit="1" customWidth="1"/>
    <col min="2682" max="2682" width="14.42578125" bestFit="1" customWidth="1"/>
    <col min="2683" max="2683" width="10.28515625" bestFit="1" customWidth="1"/>
    <col min="2684" max="2684" width="13.42578125" bestFit="1" customWidth="1"/>
    <col min="2685" max="2685" width="15.5703125" bestFit="1" customWidth="1"/>
    <col min="2686" max="2686" width="14" bestFit="1" customWidth="1"/>
    <col min="2687" max="2687" width="14.42578125" bestFit="1" customWidth="1"/>
    <col min="2688" max="2688" width="10.28515625" bestFit="1" customWidth="1"/>
    <col min="2689" max="2689" width="13.42578125" bestFit="1" customWidth="1"/>
    <col min="2690" max="2690" width="15.5703125" bestFit="1" customWidth="1"/>
    <col min="2691" max="2691" width="14" bestFit="1" customWidth="1"/>
    <col min="2692" max="2692" width="14.42578125" bestFit="1" customWidth="1"/>
    <col min="2693" max="2693" width="10.28515625" bestFit="1" customWidth="1"/>
    <col min="2694" max="2694" width="13.42578125" bestFit="1" customWidth="1"/>
    <col min="2695" max="2695" width="15.5703125" bestFit="1" customWidth="1"/>
    <col min="2696" max="2696" width="14" bestFit="1" customWidth="1"/>
    <col min="2697" max="2697" width="14.42578125" bestFit="1" customWidth="1"/>
    <col min="2698" max="2698" width="10.28515625" bestFit="1" customWidth="1"/>
    <col min="2699" max="2699" width="13.42578125" bestFit="1" customWidth="1"/>
    <col min="2700" max="2700" width="15.5703125" bestFit="1" customWidth="1"/>
    <col min="2701" max="2701" width="14" bestFit="1" customWidth="1"/>
    <col min="2702" max="2702" width="14.42578125" bestFit="1" customWidth="1"/>
    <col min="2703" max="2703" width="10.28515625" bestFit="1" customWidth="1"/>
    <col min="2704" max="2704" width="13.42578125" bestFit="1" customWidth="1"/>
    <col min="2705" max="2705" width="15.5703125" bestFit="1" customWidth="1"/>
    <col min="2706" max="2706" width="14" bestFit="1" customWidth="1"/>
    <col min="2707" max="2707" width="14.42578125" bestFit="1" customWidth="1"/>
    <col min="2708" max="2708" width="10.28515625" bestFit="1" customWidth="1"/>
    <col min="2709" max="2709" width="13.42578125" bestFit="1" customWidth="1"/>
    <col min="2710" max="2710" width="15.5703125" bestFit="1" customWidth="1"/>
    <col min="2711" max="2711" width="14" bestFit="1" customWidth="1"/>
    <col min="2712" max="2712" width="14.42578125" bestFit="1" customWidth="1"/>
    <col min="2713" max="2713" width="10.28515625" bestFit="1" customWidth="1"/>
    <col min="2714" max="2714" width="13.42578125" bestFit="1" customWidth="1"/>
    <col min="2715" max="2715" width="15.5703125" bestFit="1" customWidth="1"/>
    <col min="2716" max="2716" width="14" bestFit="1" customWidth="1"/>
    <col min="2717" max="2717" width="14.42578125" bestFit="1" customWidth="1"/>
    <col min="2718" max="2718" width="10.28515625" bestFit="1" customWidth="1"/>
    <col min="2719" max="2719" width="13.42578125" bestFit="1" customWidth="1"/>
    <col min="2720" max="2720" width="15.5703125" bestFit="1" customWidth="1"/>
    <col min="2721" max="2721" width="14" bestFit="1" customWidth="1"/>
    <col min="2722" max="2722" width="14.42578125" bestFit="1" customWidth="1"/>
    <col min="2723" max="2723" width="10.28515625" bestFit="1" customWidth="1"/>
    <col min="2724" max="2724" width="13.42578125" bestFit="1" customWidth="1"/>
    <col min="2725" max="2725" width="15.5703125" bestFit="1" customWidth="1"/>
    <col min="2726" max="2726" width="14" bestFit="1" customWidth="1"/>
    <col min="2727" max="2727" width="14.42578125" bestFit="1" customWidth="1"/>
    <col min="2728" max="2728" width="10.28515625" bestFit="1" customWidth="1"/>
    <col min="2729" max="2729" width="13.42578125" bestFit="1" customWidth="1"/>
    <col min="2730" max="2730" width="15.5703125" bestFit="1" customWidth="1"/>
    <col min="2731" max="2731" width="14" bestFit="1" customWidth="1"/>
    <col min="2732" max="2732" width="14.42578125" bestFit="1" customWidth="1"/>
    <col min="2733" max="2733" width="10.28515625" bestFit="1" customWidth="1"/>
    <col min="2734" max="2734" width="13.42578125" bestFit="1" customWidth="1"/>
    <col min="2735" max="2735" width="15.5703125" bestFit="1" customWidth="1"/>
    <col min="2736" max="2736" width="14" bestFit="1" customWidth="1"/>
    <col min="2737" max="2737" width="14.42578125" bestFit="1" customWidth="1"/>
    <col min="2738" max="2738" width="10.28515625" bestFit="1" customWidth="1"/>
    <col min="2739" max="2739" width="13.42578125" bestFit="1" customWidth="1"/>
    <col min="2740" max="2740" width="15.5703125" bestFit="1" customWidth="1"/>
    <col min="2741" max="2741" width="14" bestFit="1" customWidth="1"/>
    <col min="2742" max="2742" width="14.42578125" bestFit="1" customWidth="1"/>
    <col min="2743" max="2743" width="10.28515625" bestFit="1" customWidth="1"/>
    <col min="2744" max="2744" width="13.42578125" bestFit="1" customWidth="1"/>
    <col min="2745" max="2745" width="15.5703125" bestFit="1" customWidth="1"/>
    <col min="2746" max="2746" width="14" bestFit="1" customWidth="1"/>
    <col min="2747" max="2747" width="14.42578125" bestFit="1" customWidth="1"/>
    <col min="2748" max="2748" width="10.28515625" bestFit="1" customWidth="1"/>
    <col min="2749" max="2749" width="13.42578125" bestFit="1" customWidth="1"/>
    <col min="2750" max="2750" width="15.5703125" bestFit="1" customWidth="1"/>
    <col min="2751" max="2751" width="14" bestFit="1" customWidth="1"/>
    <col min="2752" max="2752" width="14.42578125" bestFit="1" customWidth="1"/>
    <col min="2753" max="2753" width="10.28515625" bestFit="1" customWidth="1"/>
    <col min="2754" max="2754" width="13.42578125" bestFit="1" customWidth="1"/>
    <col min="2755" max="2755" width="15.5703125" bestFit="1" customWidth="1"/>
    <col min="2756" max="2756" width="14" bestFit="1" customWidth="1"/>
    <col min="2757" max="2757" width="14.42578125" bestFit="1" customWidth="1"/>
    <col min="2758" max="2758" width="10.28515625" bestFit="1" customWidth="1"/>
    <col min="2759" max="2759" width="13.42578125" bestFit="1" customWidth="1"/>
    <col min="2760" max="2760" width="15.5703125" bestFit="1" customWidth="1"/>
    <col min="2761" max="2761" width="14" bestFit="1" customWidth="1"/>
    <col min="2762" max="2762" width="14.42578125" bestFit="1" customWidth="1"/>
    <col min="2763" max="2763" width="10.28515625" bestFit="1" customWidth="1"/>
    <col min="2764" max="2764" width="13.42578125" bestFit="1" customWidth="1"/>
    <col min="2765" max="2765" width="15.5703125" bestFit="1" customWidth="1"/>
    <col min="2766" max="2766" width="14" bestFit="1" customWidth="1"/>
    <col min="2767" max="2767" width="14.42578125" bestFit="1" customWidth="1"/>
    <col min="2768" max="2768" width="10.28515625" bestFit="1" customWidth="1"/>
    <col min="2769" max="2769" width="13.42578125" bestFit="1" customWidth="1"/>
    <col min="2770" max="2770" width="15.5703125" bestFit="1" customWidth="1"/>
    <col min="2771" max="2771" width="14" bestFit="1" customWidth="1"/>
    <col min="2772" max="2772" width="14.42578125" bestFit="1" customWidth="1"/>
    <col min="2773" max="2773" width="10.28515625" bestFit="1" customWidth="1"/>
    <col min="2774" max="2774" width="13.42578125" bestFit="1" customWidth="1"/>
    <col min="2775" max="2775" width="15.5703125" bestFit="1" customWidth="1"/>
    <col min="2776" max="2776" width="14" bestFit="1" customWidth="1"/>
    <col min="2777" max="2777" width="14.42578125" bestFit="1" customWidth="1"/>
    <col min="2778" max="2778" width="10.28515625" bestFit="1" customWidth="1"/>
    <col min="2779" max="2779" width="13.42578125" bestFit="1" customWidth="1"/>
    <col min="2780" max="2780" width="15.5703125" bestFit="1" customWidth="1"/>
    <col min="2781" max="2781" width="14" bestFit="1" customWidth="1"/>
    <col min="2782" max="2782" width="14.42578125" bestFit="1" customWidth="1"/>
    <col min="2783" max="2783" width="10.28515625" bestFit="1" customWidth="1"/>
    <col min="2784" max="2784" width="13.42578125" bestFit="1" customWidth="1"/>
    <col min="2785" max="2785" width="15.5703125" bestFit="1" customWidth="1"/>
    <col min="2786" max="2786" width="14" bestFit="1" customWidth="1"/>
    <col min="2787" max="2787" width="14.42578125" bestFit="1" customWidth="1"/>
    <col min="2788" max="2788" width="10.28515625" bestFit="1" customWidth="1"/>
    <col min="2789" max="2789" width="13.42578125" bestFit="1" customWidth="1"/>
    <col min="2790" max="2790" width="15.5703125" bestFit="1" customWidth="1"/>
    <col min="2791" max="2791" width="14" bestFit="1" customWidth="1"/>
    <col min="2792" max="2792" width="14.42578125" bestFit="1" customWidth="1"/>
    <col min="2793" max="2793" width="10.28515625" bestFit="1" customWidth="1"/>
    <col min="2794" max="2794" width="13.42578125" bestFit="1" customWidth="1"/>
    <col min="2795" max="2795" width="15.5703125" bestFit="1" customWidth="1"/>
    <col min="2796" max="2796" width="14" bestFit="1" customWidth="1"/>
    <col min="2797" max="2797" width="14.42578125" bestFit="1" customWidth="1"/>
    <col min="2798" max="2798" width="10.28515625" bestFit="1" customWidth="1"/>
    <col min="2799" max="2799" width="13.42578125" bestFit="1" customWidth="1"/>
    <col min="2800" max="2800" width="15.5703125" bestFit="1" customWidth="1"/>
    <col min="2801" max="2801" width="14" bestFit="1" customWidth="1"/>
    <col min="2802" max="2802" width="14.42578125" bestFit="1" customWidth="1"/>
    <col min="2803" max="2803" width="10.28515625" bestFit="1" customWidth="1"/>
    <col min="2804" max="2804" width="13.42578125" bestFit="1" customWidth="1"/>
    <col min="2805" max="2805" width="15.5703125" bestFit="1" customWidth="1"/>
    <col min="2806" max="2806" width="14" bestFit="1" customWidth="1"/>
    <col min="2807" max="2807" width="14.42578125" bestFit="1" customWidth="1"/>
    <col min="2808" max="2808" width="10.28515625" bestFit="1" customWidth="1"/>
    <col min="2809" max="2809" width="13.42578125" bestFit="1" customWidth="1"/>
    <col min="2810" max="2810" width="15.5703125" bestFit="1" customWidth="1"/>
    <col min="2811" max="2811" width="14" bestFit="1" customWidth="1"/>
    <col min="2812" max="2812" width="14.42578125" bestFit="1" customWidth="1"/>
    <col min="2813" max="2813" width="10.28515625" bestFit="1" customWidth="1"/>
    <col min="2814" max="2814" width="13.42578125" bestFit="1" customWidth="1"/>
    <col min="2815" max="2815" width="15.5703125" bestFit="1" customWidth="1"/>
    <col min="2816" max="2816" width="14" bestFit="1" customWidth="1"/>
    <col min="2817" max="2817" width="14.42578125" bestFit="1" customWidth="1"/>
    <col min="2818" max="2818" width="10.28515625" bestFit="1" customWidth="1"/>
    <col min="2819" max="2819" width="13.42578125" bestFit="1" customWidth="1"/>
    <col min="2820" max="2820" width="15.5703125" bestFit="1" customWidth="1"/>
    <col min="2821" max="2821" width="14" bestFit="1" customWidth="1"/>
    <col min="2822" max="2822" width="14.42578125" bestFit="1" customWidth="1"/>
    <col min="2823" max="2823" width="10.28515625" bestFit="1" customWidth="1"/>
    <col min="2824" max="2824" width="13.42578125" bestFit="1" customWidth="1"/>
    <col min="2825" max="2825" width="15.5703125" bestFit="1" customWidth="1"/>
    <col min="2826" max="2826" width="14" bestFit="1" customWidth="1"/>
    <col min="2827" max="2827" width="14.42578125" bestFit="1" customWidth="1"/>
    <col min="2828" max="2828" width="10.28515625" bestFit="1" customWidth="1"/>
    <col min="2829" max="2829" width="13.42578125" bestFit="1" customWidth="1"/>
    <col min="2830" max="2830" width="15.5703125" bestFit="1" customWidth="1"/>
    <col min="2831" max="2831" width="14" bestFit="1" customWidth="1"/>
    <col min="2832" max="2832" width="14.42578125" bestFit="1" customWidth="1"/>
    <col min="2833" max="2833" width="10.28515625" bestFit="1" customWidth="1"/>
    <col min="2834" max="2834" width="13.42578125" bestFit="1" customWidth="1"/>
    <col min="2835" max="2835" width="15.5703125" bestFit="1" customWidth="1"/>
    <col min="2836" max="2836" width="14" bestFit="1" customWidth="1"/>
    <col min="2837" max="2837" width="14.42578125" bestFit="1" customWidth="1"/>
    <col min="2838" max="2838" width="10.28515625" bestFit="1" customWidth="1"/>
    <col min="2839" max="2839" width="13.42578125" bestFit="1" customWidth="1"/>
    <col min="2840" max="2840" width="15.5703125" bestFit="1" customWidth="1"/>
    <col min="2841" max="2841" width="14" bestFit="1" customWidth="1"/>
    <col min="2842" max="2842" width="14.42578125" bestFit="1" customWidth="1"/>
    <col min="2843" max="2843" width="10.28515625" bestFit="1" customWidth="1"/>
    <col min="2844" max="2844" width="13.42578125" bestFit="1" customWidth="1"/>
    <col min="2845" max="2845" width="15.5703125" bestFit="1" customWidth="1"/>
    <col min="2846" max="2846" width="14" bestFit="1" customWidth="1"/>
    <col min="2847" max="2847" width="14.42578125" bestFit="1" customWidth="1"/>
    <col min="2848" max="2848" width="10.28515625" bestFit="1" customWidth="1"/>
    <col min="2849" max="2849" width="13.42578125" bestFit="1" customWidth="1"/>
    <col min="2850" max="2850" width="15.5703125" bestFit="1" customWidth="1"/>
    <col min="2851" max="2851" width="14" bestFit="1" customWidth="1"/>
    <col min="2852" max="2852" width="14.42578125" bestFit="1" customWidth="1"/>
    <col min="2853" max="2853" width="10.28515625" bestFit="1" customWidth="1"/>
    <col min="2854" max="2854" width="13.42578125" bestFit="1" customWidth="1"/>
    <col min="2855" max="2855" width="15.5703125" bestFit="1" customWidth="1"/>
    <col min="2856" max="2856" width="14" bestFit="1" customWidth="1"/>
    <col min="2857" max="2857" width="14.42578125" bestFit="1" customWidth="1"/>
    <col min="2858" max="2858" width="10.28515625" bestFit="1" customWidth="1"/>
    <col min="2859" max="2859" width="13.42578125" bestFit="1" customWidth="1"/>
    <col min="2860" max="2860" width="15.5703125" bestFit="1" customWidth="1"/>
    <col min="2861" max="2861" width="14" bestFit="1" customWidth="1"/>
    <col min="2862" max="2862" width="14.42578125" bestFit="1" customWidth="1"/>
    <col min="2863" max="2863" width="10.28515625" bestFit="1" customWidth="1"/>
    <col min="2864" max="2864" width="13.42578125" bestFit="1" customWidth="1"/>
    <col min="2865" max="2865" width="15.5703125" bestFit="1" customWidth="1"/>
    <col min="2866" max="2866" width="14" bestFit="1" customWidth="1"/>
    <col min="2867" max="2867" width="14.42578125" bestFit="1" customWidth="1"/>
    <col min="2868" max="2868" width="10.28515625" bestFit="1" customWidth="1"/>
    <col min="2869" max="2869" width="13.42578125" bestFit="1" customWidth="1"/>
    <col min="2870" max="2870" width="15.5703125" bestFit="1" customWidth="1"/>
    <col min="2871" max="2871" width="14" bestFit="1" customWidth="1"/>
    <col min="2872" max="2872" width="14.42578125" bestFit="1" customWidth="1"/>
    <col min="2873" max="2873" width="10.28515625" bestFit="1" customWidth="1"/>
    <col min="2874" max="2874" width="13.42578125" bestFit="1" customWidth="1"/>
    <col min="2875" max="2875" width="15.5703125" bestFit="1" customWidth="1"/>
    <col min="2876" max="2876" width="14" bestFit="1" customWidth="1"/>
    <col min="2877" max="2877" width="14.42578125" bestFit="1" customWidth="1"/>
    <col min="2878" max="2878" width="10.28515625" bestFit="1" customWidth="1"/>
    <col min="2879" max="2879" width="13.42578125" bestFit="1" customWidth="1"/>
    <col min="2880" max="2880" width="15.5703125" bestFit="1" customWidth="1"/>
    <col min="2881" max="2881" width="14" bestFit="1" customWidth="1"/>
    <col min="2882" max="2882" width="14.42578125" bestFit="1" customWidth="1"/>
    <col min="2883" max="2883" width="10.28515625" bestFit="1" customWidth="1"/>
    <col min="2884" max="2884" width="13.42578125" bestFit="1" customWidth="1"/>
    <col min="2885" max="2885" width="15.5703125" bestFit="1" customWidth="1"/>
    <col min="2886" max="2886" width="14" bestFit="1" customWidth="1"/>
    <col min="2887" max="2887" width="14.42578125" bestFit="1" customWidth="1"/>
    <col min="2888" max="2888" width="10.28515625" bestFit="1" customWidth="1"/>
    <col min="2889" max="2889" width="13.42578125" bestFit="1" customWidth="1"/>
    <col min="2890" max="2890" width="15.5703125" bestFit="1" customWidth="1"/>
    <col min="2891" max="2891" width="14" bestFit="1" customWidth="1"/>
    <col min="2892" max="2892" width="14.42578125" bestFit="1" customWidth="1"/>
    <col min="2893" max="2893" width="10.28515625" bestFit="1" customWidth="1"/>
    <col min="2894" max="2894" width="13.42578125" bestFit="1" customWidth="1"/>
    <col min="2895" max="2895" width="15.5703125" bestFit="1" customWidth="1"/>
    <col min="2896" max="2896" width="14" bestFit="1" customWidth="1"/>
    <col min="2897" max="2897" width="14.42578125" bestFit="1" customWidth="1"/>
    <col min="2898" max="2898" width="10.28515625" bestFit="1" customWidth="1"/>
    <col min="2899" max="2899" width="13.42578125" bestFit="1" customWidth="1"/>
    <col min="2900" max="2900" width="15.5703125" bestFit="1" customWidth="1"/>
    <col min="2901" max="2901" width="14" bestFit="1" customWidth="1"/>
    <col min="2902" max="2902" width="14.42578125" bestFit="1" customWidth="1"/>
    <col min="2903" max="2903" width="10.28515625" bestFit="1" customWidth="1"/>
    <col min="2904" max="2904" width="13.42578125" bestFit="1" customWidth="1"/>
    <col min="2905" max="2905" width="15.5703125" bestFit="1" customWidth="1"/>
    <col min="2906" max="2906" width="14" bestFit="1" customWidth="1"/>
    <col min="2907" max="2907" width="14.42578125" bestFit="1" customWidth="1"/>
    <col min="2908" max="2908" width="10.28515625" bestFit="1" customWidth="1"/>
    <col min="2909" max="2909" width="13.42578125" bestFit="1" customWidth="1"/>
    <col min="2910" max="2910" width="15.5703125" bestFit="1" customWidth="1"/>
    <col min="2911" max="2911" width="14" bestFit="1" customWidth="1"/>
    <col min="2912" max="2912" width="14.42578125" bestFit="1" customWidth="1"/>
    <col min="2913" max="2913" width="10.28515625" bestFit="1" customWidth="1"/>
    <col min="2914" max="2914" width="13.42578125" bestFit="1" customWidth="1"/>
    <col min="2915" max="2915" width="15.5703125" bestFit="1" customWidth="1"/>
    <col min="2916" max="2916" width="14" bestFit="1" customWidth="1"/>
    <col min="2917" max="2917" width="14.42578125" bestFit="1" customWidth="1"/>
    <col min="2918" max="2918" width="10.28515625" bestFit="1" customWidth="1"/>
    <col min="2919" max="2919" width="13.42578125" bestFit="1" customWidth="1"/>
    <col min="2920" max="2920" width="15.5703125" bestFit="1" customWidth="1"/>
    <col min="2921" max="2921" width="14" bestFit="1" customWidth="1"/>
    <col min="2922" max="2922" width="14.42578125" bestFit="1" customWidth="1"/>
    <col min="2923" max="2923" width="10.28515625" bestFit="1" customWidth="1"/>
    <col min="2924" max="2924" width="13.42578125" bestFit="1" customWidth="1"/>
    <col min="2925" max="2925" width="15.5703125" bestFit="1" customWidth="1"/>
    <col min="2926" max="2926" width="14" bestFit="1" customWidth="1"/>
    <col min="2927" max="2927" width="14.42578125" bestFit="1" customWidth="1"/>
    <col min="2928" max="2928" width="10.28515625" bestFit="1" customWidth="1"/>
    <col min="2929" max="2929" width="13.42578125" bestFit="1" customWidth="1"/>
    <col min="2930" max="2930" width="15.5703125" bestFit="1" customWidth="1"/>
    <col min="2931" max="2931" width="14" bestFit="1" customWidth="1"/>
    <col min="2932" max="2932" width="14.42578125" bestFit="1" customWidth="1"/>
    <col min="2933" max="2933" width="10.28515625" bestFit="1" customWidth="1"/>
    <col min="2934" max="2934" width="13.42578125" bestFit="1" customWidth="1"/>
    <col min="2935" max="2935" width="15.5703125" bestFit="1" customWidth="1"/>
    <col min="2936" max="2936" width="14" bestFit="1" customWidth="1"/>
    <col min="2937" max="2937" width="14.42578125" bestFit="1" customWidth="1"/>
    <col min="2938" max="2938" width="10.28515625" bestFit="1" customWidth="1"/>
    <col min="2939" max="2939" width="13.42578125" bestFit="1" customWidth="1"/>
    <col min="2940" max="2940" width="15.5703125" bestFit="1" customWidth="1"/>
    <col min="2941" max="2941" width="14" bestFit="1" customWidth="1"/>
    <col min="2942" max="2942" width="14.42578125" bestFit="1" customWidth="1"/>
    <col min="2943" max="2943" width="10.28515625" bestFit="1" customWidth="1"/>
    <col min="2944" max="2944" width="13.42578125" bestFit="1" customWidth="1"/>
    <col min="2945" max="2945" width="15.5703125" bestFit="1" customWidth="1"/>
    <col min="2946" max="2946" width="14" bestFit="1" customWidth="1"/>
    <col min="2947" max="2947" width="14.42578125" bestFit="1" customWidth="1"/>
    <col min="2948" max="2948" width="10.28515625" bestFit="1" customWidth="1"/>
    <col min="2949" max="2949" width="13.42578125" bestFit="1" customWidth="1"/>
    <col min="2950" max="2950" width="15.5703125" bestFit="1" customWidth="1"/>
    <col min="2951" max="2951" width="14" bestFit="1" customWidth="1"/>
    <col min="2952" max="2952" width="14.42578125" bestFit="1" customWidth="1"/>
    <col min="2953" max="2953" width="10.28515625" bestFit="1" customWidth="1"/>
    <col min="2954" max="2954" width="13.42578125" bestFit="1" customWidth="1"/>
    <col min="2955" max="2955" width="15.5703125" bestFit="1" customWidth="1"/>
    <col min="2956" max="2956" width="14" bestFit="1" customWidth="1"/>
    <col min="2957" max="2957" width="14.42578125" bestFit="1" customWidth="1"/>
    <col min="2958" max="2958" width="10.28515625" bestFit="1" customWidth="1"/>
    <col min="2959" max="2959" width="13.42578125" bestFit="1" customWidth="1"/>
    <col min="2960" max="2960" width="15.5703125" bestFit="1" customWidth="1"/>
    <col min="2961" max="2961" width="14" bestFit="1" customWidth="1"/>
    <col min="2962" max="2962" width="14.42578125" bestFit="1" customWidth="1"/>
    <col min="2963" max="2963" width="10.28515625" bestFit="1" customWidth="1"/>
    <col min="2964" max="2964" width="13.42578125" bestFit="1" customWidth="1"/>
    <col min="2965" max="2965" width="15.5703125" bestFit="1" customWidth="1"/>
    <col min="2966" max="2966" width="14" bestFit="1" customWidth="1"/>
    <col min="2967" max="2967" width="14.42578125" bestFit="1" customWidth="1"/>
    <col min="2968" max="2968" width="10.28515625" bestFit="1" customWidth="1"/>
    <col min="2969" max="2969" width="13.42578125" bestFit="1" customWidth="1"/>
    <col min="2970" max="2970" width="15.5703125" bestFit="1" customWidth="1"/>
    <col min="2971" max="2971" width="14" bestFit="1" customWidth="1"/>
    <col min="2972" max="2972" width="14.42578125" bestFit="1" customWidth="1"/>
    <col min="2973" max="2973" width="10.28515625" bestFit="1" customWidth="1"/>
    <col min="2974" max="2974" width="13.42578125" bestFit="1" customWidth="1"/>
    <col min="2975" max="2975" width="15.5703125" bestFit="1" customWidth="1"/>
    <col min="2976" max="2976" width="14" bestFit="1" customWidth="1"/>
    <col min="2977" max="2977" width="14.42578125" bestFit="1" customWidth="1"/>
    <col min="2978" max="2978" width="10.28515625" bestFit="1" customWidth="1"/>
    <col min="2979" max="2979" width="13.42578125" bestFit="1" customWidth="1"/>
    <col min="2980" max="2980" width="15.5703125" bestFit="1" customWidth="1"/>
    <col min="2981" max="2981" width="14" bestFit="1" customWidth="1"/>
    <col min="2982" max="2982" width="14.42578125" bestFit="1" customWidth="1"/>
    <col min="2983" max="2983" width="10.28515625" bestFit="1" customWidth="1"/>
    <col min="2984" max="2984" width="13.42578125" bestFit="1" customWidth="1"/>
    <col min="2985" max="2985" width="15.5703125" bestFit="1" customWidth="1"/>
    <col min="2986" max="2986" width="14" bestFit="1" customWidth="1"/>
    <col min="2987" max="2987" width="14.42578125" bestFit="1" customWidth="1"/>
    <col min="2988" max="2988" width="10.28515625" bestFit="1" customWidth="1"/>
    <col min="2989" max="2989" width="13.42578125" bestFit="1" customWidth="1"/>
    <col min="2990" max="2990" width="15.5703125" bestFit="1" customWidth="1"/>
    <col min="2991" max="2991" width="14" bestFit="1" customWidth="1"/>
    <col min="2992" max="2992" width="14.42578125" bestFit="1" customWidth="1"/>
    <col min="2993" max="2993" width="10.28515625" bestFit="1" customWidth="1"/>
    <col min="2994" max="2994" width="13.42578125" bestFit="1" customWidth="1"/>
    <col min="2995" max="2995" width="15.5703125" bestFit="1" customWidth="1"/>
    <col min="2996" max="2996" width="14" bestFit="1" customWidth="1"/>
    <col min="2997" max="2997" width="14.42578125" bestFit="1" customWidth="1"/>
    <col min="2998" max="2998" width="10.28515625" bestFit="1" customWidth="1"/>
    <col min="2999" max="2999" width="13.42578125" bestFit="1" customWidth="1"/>
    <col min="3000" max="3000" width="15.5703125" bestFit="1" customWidth="1"/>
    <col min="3001" max="3001" width="14" bestFit="1" customWidth="1"/>
    <col min="3002" max="3002" width="14.42578125" bestFit="1" customWidth="1"/>
    <col min="3003" max="3003" width="10.28515625" bestFit="1" customWidth="1"/>
    <col min="3004" max="3004" width="13.42578125" bestFit="1" customWidth="1"/>
    <col min="3005" max="3005" width="15.5703125" bestFit="1" customWidth="1"/>
    <col min="3006" max="3006" width="14" bestFit="1" customWidth="1"/>
    <col min="3007" max="3007" width="14.42578125" bestFit="1" customWidth="1"/>
    <col min="3008" max="3008" width="10.28515625" bestFit="1" customWidth="1"/>
    <col min="3009" max="3009" width="13.42578125" bestFit="1" customWidth="1"/>
    <col min="3010" max="3010" width="15.5703125" bestFit="1" customWidth="1"/>
    <col min="3011" max="3011" width="14" bestFit="1" customWidth="1"/>
    <col min="3012" max="3012" width="14.42578125" bestFit="1" customWidth="1"/>
    <col min="3013" max="3013" width="10.28515625" bestFit="1" customWidth="1"/>
    <col min="3014" max="3014" width="13.42578125" bestFit="1" customWidth="1"/>
    <col min="3015" max="3015" width="15.5703125" bestFit="1" customWidth="1"/>
    <col min="3016" max="3016" width="14" bestFit="1" customWidth="1"/>
    <col min="3017" max="3017" width="14.42578125" bestFit="1" customWidth="1"/>
    <col min="3018" max="3018" width="10.28515625" bestFit="1" customWidth="1"/>
    <col min="3019" max="3019" width="13.42578125" bestFit="1" customWidth="1"/>
    <col min="3020" max="3020" width="15.5703125" bestFit="1" customWidth="1"/>
    <col min="3021" max="3021" width="14" bestFit="1" customWidth="1"/>
    <col min="3022" max="3022" width="14.42578125" bestFit="1" customWidth="1"/>
    <col min="3023" max="3023" width="10.28515625" bestFit="1" customWidth="1"/>
    <col min="3024" max="3024" width="13.42578125" bestFit="1" customWidth="1"/>
    <col min="3025" max="3025" width="15.5703125" bestFit="1" customWidth="1"/>
    <col min="3026" max="3026" width="14" bestFit="1" customWidth="1"/>
    <col min="3027" max="3027" width="14.42578125" bestFit="1" customWidth="1"/>
    <col min="3028" max="3028" width="10.28515625" bestFit="1" customWidth="1"/>
    <col min="3029" max="3029" width="13.42578125" bestFit="1" customWidth="1"/>
    <col min="3030" max="3030" width="15.5703125" bestFit="1" customWidth="1"/>
    <col min="3031" max="3031" width="14" bestFit="1" customWidth="1"/>
    <col min="3032" max="3032" width="14.42578125" bestFit="1" customWidth="1"/>
    <col min="3033" max="3033" width="10.28515625" bestFit="1" customWidth="1"/>
    <col min="3034" max="3034" width="13.42578125" bestFit="1" customWidth="1"/>
    <col min="3035" max="3035" width="15.5703125" bestFit="1" customWidth="1"/>
    <col min="3036" max="3036" width="14" bestFit="1" customWidth="1"/>
    <col min="3037" max="3037" width="14.42578125" bestFit="1" customWidth="1"/>
    <col min="3038" max="3038" width="10.28515625" bestFit="1" customWidth="1"/>
    <col min="3039" max="3039" width="13.42578125" bestFit="1" customWidth="1"/>
    <col min="3040" max="3040" width="15.5703125" bestFit="1" customWidth="1"/>
    <col min="3041" max="3041" width="14" bestFit="1" customWidth="1"/>
    <col min="3042" max="3042" width="14.42578125" bestFit="1" customWidth="1"/>
    <col min="3043" max="3043" width="10.28515625" bestFit="1" customWidth="1"/>
    <col min="3044" max="3044" width="13.42578125" bestFit="1" customWidth="1"/>
    <col min="3045" max="3045" width="15.5703125" bestFit="1" customWidth="1"/>
    <col min="3046" max="3046" width="14" bestFit="1" customWidth="1"/>
    <col min="3047" max="3047" width="14.42578125" bestFit="1" customWidth="1"/>
    <col min="3048" max="3048" width="10.28515625" bestFit="1" customWidth="1"/>
    <col min="3049" max="3049" width="13.42578125" bestFit="1" customWidth="1"/>
    <col min="3050" max="3050" width="15.5703125" bestFit="1" customWidth="1"/>
    <col min="3051" max="3051" width="14" bestFit="1" customWidth="1"/>
    <col min="3052" max="3052" width="14.42578125" bestFit="1" customWidth="1"/>
    <col min="3053" max="3053" width="10.28515625" bestFit="1" customWidth="1"/>
    <col min="3054" max="3054" width="13.42578125" bestFit="1" customWidth="1"/>
    <col min="3055" max="3055" width="15.5703125" bestFit="1" customWidth="1"/>
    <col min="3056" max="3056" width="14" bestFit="1" customWidth="1"/>
    <col min="3057" max="3057" width="14.42578125" bestFit="1" customWidth="1"/>
    <col min="3058" max="3058" width="10.28515625" bestFit="1" customWidth="1"/>
    <col min="3059" max="3059" width="13.42578125" bestFit="1" customWidth="1"/>
    <col min="3060" max="3060" width="15.5703125" bestFit="1" customWidth="1"/>
    <col min="3061" max="3061" width="14" bestFit="1" customWidth="1"/>
    <col min="3062" max="3062" width="14.42578125" bestFit="1" customWidth="1"/>
    <col min="3063" max="3063" width="10.28515625" bestFit="1" customWidth="1"/>
    <col min="3064" max="3064" width="13.42578125" bestFit="1" customWidth="1"/>
    <col min="3065" max="3065" width="15.5703125" bestFit="1" customWidth="1"/>
    <col min="3066" max="3066" width="14" bestFit="1" customWidth="1"/>
    <col min="3067" max="3067" width="14.42578125" bestFit="1" customWidth="1"/>
    <col min="3068" max="3068" width="10.28515625" bestFit="1" customWidth="1"/>
    <col min="3069" max="3069" width="13.42578125" bestFit="1" customWidth="1"/>
    <col min="3070" max="3070" width="15.5703125" bestFit="1" customWidth="1"/>
    <col min="3071" max="3071" width="14" bestFit="1" customWidth="1"/>
    <col min="3072" max="3072" width="14.42578125" bestFit="1" customWidth="1"/>
    <col min="3073" max="3073" width="10.28515625" bestFit="1" customWidth="1"/>
    <col min="3074" max="3074" width="13.42578125" bestFit="1" customWidth="1"/>
    <col min="3075" max="3075" width="15.5703125" bestFit="1" customWidth="1"/>
    <col min="3076" max="3076" width="14" bestFit="1" customWidth="1"/>
    <col min="3077" max="3077" width="14.42578125" bestFit="1" customWidth="1"/>
    <col min="3078" max="3078" width="10.28515625" bestFit="1" customWidth="1"/>
    <col min="3079" max="3079" width="13.42578125" bestFit="1" customWidth="1"/>
    <col min="3080" max="3080" width="15.5703125" bestFit="1" customWidth="1"/>
    <col min="3081" max="3081" width="14" bestFit="1" customWidth="1"/>
    <col min="3082" max="3082" width="14.42578125" bestFit="1" customWidth="1"/>
    <col min="3083" max="3083" width="10.28515625" bestFit="1" customWidth="1"/>
    <col min="3084" max="3084" width="13.42578125" bestFit="1" customWidth="1"/>
    <col min="3085" max="3085" width="15.5703125" bestFit="1" customWidth="1"/>
    <col min="3086" max="3086" width="14" bestFit="1" customWidth="1"/>
    <col min="3087" max="3087" width="14.42578125" bestFit="1" customWidth="1"/>
    <col min="3088" max="3088" width="10.28515625" bestFit="1" customWidth="1"/>
    <col min="3089" max="3089" width="13.42578125" bestFit="1" customWidth="1"/>
    <col min="3090" max="3090" width="15.5703125" bestFit="1" customWidth="1"/>
    <col min="3091" max="3091" width="14" bestFit="1" customWidth="1"/>
    <col min="3092" max="3092" width="14.42578125" bestFit="1" customWidth="1"/>
    <col min="3093" max="3093" width="10.28515625" bestFit="1" customWidth="1"/>
    <col min="3094" max="3094" width="13.42578125" bestFit="1" customWidth="1"/>
    <col min="3095" max="3095" width="15.5703125" bestFit="1" customWidth="1"/>
    <col min="3096" max="3096" width="14" bestFit="1" customWidth="1"/>
    <col min="3097" max="3097" width="14.42578125" bestFit="1" customWidth="1"/>
    <col min="3098" max="3098" width="10.28515625" bestFit="1" customWidth="1"/>
    <col min="3099" max="3099" width="13.42578125" bestFit="1" customWidth="1"/>
    <col min="3100" max="3100" width="15.5703125" bestFit="1" customWidth="1"/>
    <col min="3101" max="3101" width="14" bestFit="1" customWidth="1"/>
    <col min="3102" max="3102" width="14.42578125" bestFit="1" customWidth="1"/>
    <col min="3103" max="3103" width="10.28515625" bestFit="1" customWidth="1"/>
    <col min="3104" max="3104" width="13.42578125" bestFit="1" customWidth="1"/>
    <col min="3105" max="3105" width="15.5703125" bestFit="1" customWidth="1"/>
    <col min="3106" max="3106" width="14" bestFit="1" customWidth="1"/>
    <col min="3107" max="3107" width="14.42578125" bestFit="1" customWidth="1"/>
    <col min="3108" max="3108" width="10.28515625" bestFit="1" customWidth="1"/>
    <col min="3109" max="3109" width="13.42578125" bestFit="1" customWidth="1"/>
    <col min="3110" max="3110" width="15.5703125" bestFit="1" customWidth="1"/>
    <col min="3111" max="3111" width="14" bestFit="1" customWidth="1"/>
    <col min="3112" max="3112" width="14.42578125" bestFit="1" customWidth="1"/>
    <col min="3113" max="3113" width="10.28515625" bestFit="1" customWidth="1"/>
    <col min="3114" max="3114" width="13.42578125" bestFit="1" customWidth="1"/>
    <col min="3115" max="3115" width="15.5703125" bestFit="1" customWidth="1"/>
    <col min="3116" max="3116" width="14" bestFit="1" customWidth="1"/>
    <col min="3117" max="3117" width="14.42578125" bestFit="1" customWidth="1"/>
    <col min="3118" max="3118" width="10.28515625" bestFit="1" customWidth="1"/>
    <col min="3119" max="3119" width="13.42578125" bestFit="1" customWidth="1"/>
    <col min="3120" max="3120" width="15.5703125" bestFit="1" customWidth="1"/>
    <col min="3121" max="3121" width="14" bestFit="1" customWidth="1"/>
    <col min="3122" max="3122" width="14.42578125" bestFit="1" customWidth="1"/>
    <col min="3123" max="3123" width="10.28515625" bestFit="1" customWidth="1"/>
    <col min="3124" max="3124" width="13.42578125" bestFit="1" customWidth="1"/>
    <col min="3125" max="3125" width="15.5703125" bestFit="1" customWidth="1"/>
    <col min="3126" max="3126" width="14" bestFit="1" customWidth="1"/>
    <col min="3127" max="3127" width="14.42578125" bestFit="1" customWidth="1"/>
    <col min="3128" max="3128" width="10.28515625" bestFit="1" customWidth="1"/>
    <col min="3129" max="3129" width="13.42578125" bestFit="1" customWidth="1"/>
    <col min="3130" max="3130" width="15.5703125" bestFit="1" customWidth="1"/>
    <col min="3131" max="3131" width="14" bestFit="1" customWidth="1"/>
    <col min="3132" max="3132" width="14.42578125" bestFit="1" customWidth="1"/>
    <col min="3133" max="3133" width="10.28515625" bestFit="1" customWidth="1"/>
    <col min="3134" max="3134" width="13.42578125" bestFit="1" customWidth="1"/>
    <col min="3135" max="3135" width="15.5703125" bestFit="1" customWidth="1"/>
    <col min="3136" max="3136" width="14" bestFit="1" customWidth="1"/>
    <col min="3137" max="3137" width="14.42578125" bestFit="1" customWidth="1"/>
    <col min="3138" max="3138" width="10.28515625" bestFit="1" customWidth="1"/>
    <col min="3139" max="3139" width="13.42578125" bestFit="1" customWidth="1"/>
    <col min="3140" max="3140" width="15.5703125" bestFit="1" customWidth="1"/>
    <col min="3141" max="3141" width="14" bestFit="1" customWidth="1"/>
    <col min="3142" max="3142" width="14.42578125" bestFit="1" customWidth="1"/>
    <col min="3143" max="3143" width="10.28515625" bestFit="1" customWidth="1"/>
    <col min="3144" max="3144" width="13.42578125" bestFit="1" customWidth="1"/>
    <col min="3145" max="3145" width="15.5703125" bestFit="1" customWidth="1"/>
    <col min="3146" max="3146" width="14" bestFit="1" customWidth="1"/>
    <col min="3147" max="3147" width="14.42578125" bestFit="1" customWidth="1"/>
    <col min="3148" max="3148" width="10.28515625" bestFit="1" customWidth="1"/>
    <col min="3149" max="3149" width="13.42578125" bestFit="1" customWidth="1"/>
    <col min="3150" max="3150" width="15.5703125" bestFit="1" customWidth="1"/>
    <col min="3151" max="3151" width="14" bestFit="1" customWidth="1"/>
    <col min="3152" max="3152" width="14.42578125" bestFit="1" customWidth="1"/>
    <col min="3153" max="3153" width="10.28515625" bestFit="1" customWidth="1"/>
    <col min="3154" max="3154" width="13.42578125" bestFit="1" customWidth="1"/>
    <col min="3155" max="3155" width="15.5703125" bestFit="1" customWidth="1"/>
    <col min="3156" max="3156" width="14" bestFit="1" customWidth="1"/>
    <col min="3157" max="3157" width="14.42578125" bestFit="1" customWidth="1"/>
    <col min="3158" max="3158" width="10.28515625" bestFit="1" customWidth="1"/>
    <col min="3159" max="3159" width="13.42578125" bestFit="1" customWidth="1"/>
    <col min="3160" max="3160" width="15.5703125" bestFit="1" customWidth="1"/>
    <col min="3161" max="3161" width="14" bestFit="1" customWidth="1"/>
    <col min="3162" max="3162" width="14.42578125" bestFit="1" customWidth="1"/>
    <col min="3163" max="3163" width="10.28515625" bestFit="1" customWidth="1"/>
    <col min="3164" max="3164" width="13.42578125" bestFit="1" customWidth="1"/>
    <col min="3165" max="3165" width="15.5703125" bestFit="1" customWidth="1"/>
    <col min="3166" max="3166" width="14" bestFit="1" customWidth="1"/>
    <col min="3167" max="3167" width="14.42578125" bestFit="1" customWidth="1"/>
    <col min="3168" max="3168" width="10.28515625" bestFit="1" customWidth="1"/>
    <col min="3169" max="3169" width="13.42578125" bestFit="1" customWidth="1"/>
    <col min="3170" max="3170" width="15.5703125" bestFit="1" customWidth="1"/>
    <col min="3171" max="3171" width="14" bestFit="1" customWidth="1"/>
    <col min="3172" max="3172" width="14.42578125" bestFit="1" customWidth="1"/>
    <col min="3173" max="3173" width="10.28515625" bestFit="1" customWidth="1"/>
    <col min="3174" max="3174" width="13.42578125" bestFit="1" customWidth="1"/>
    <col min="3175" max="3175" width="15.5703125" bestFit="1" customWidth="1"/>
    <col min="3176" max="3176" width="14" bestFit="1" customWidth="1"/>
    <col min="3177" max="3177" width="14.42578125" bestFit="1" customWidth="1"/>
    <col min="3178" max="3178" width="10.28515625" bestFit="1" customWidth="1"/>
    <col min="3179" max="3179" width="13.42578125" bestFit="1" customWidth="1"/>
    <col min="3180" max="3180" width="15.5703125" bestFit="1" customWidth="1"/>
    <col min="3181" max="3181" width="14" bestFit="1" customWidth="1"/>
    <col min="3182" max="3182" width="14.42578125" bestFit="1" customWidth="1"/>
    <col min="3183" max="3183" width="10.28515625" bestFit="1" customWidth="1"/>
    <col min="3184" max="3184" width="13.42578125" bestFit="1" customWidth="1"/>
    <col min="3185" max="3185" width="15.5703125" bestFit="1" customWidth="1"/>
    <col min="3186" max="3186" width="14" bestFit="1" customWidth="1"/>
    <col min="3187" max="3187" width="14.42578125" bestFit="1" customWidth="1"/>
    <col min="3188" max="3188" width="10.28515625" bestFit="1" customWidth="1"/>
    <col min="3189" max="3189" width="13.42578125" bestFit="1" customWidth="1"/>
    <col min="3190" max="3190" width="15.5703125" bestFit="1" customWidth="1"/>
    <col min="3191" max="3191" width="14" bestFit="1" customWidth="1"/>
    <col min="3192" max="3192" width="14.42578125" bestFit="1" customWidth="1"/>
    <col min="3193" max="3193" width="10.28515625" bestFit="1" customWidth="1"/>
    <col min="3194" max="3194" width="13.42578125" bestFit="1" customWidth="1"/>
    <col min="3195" max="3195" width="15.5703125" bestFit="1" customWidth="1"/>
    <col min="3196" max="3196" width="14" bestFit="1" customWidth="1"/>
    <col min="3197" max="3197" width="14.42578125" bestFit="1" customWidth="1"/>
    <col min="3198" max="3198" width="10.28515625" bestFit="1" customWidth="1"/>
    <col min="3199" max="3199" width="13.42578125" bestFit="1" customWidth="1"/>
    <col min="3200" max="3200" width="15.5703125" bestFit="1" customWidth="1"/>
    <col min="3201" max="3201" width="14" bestFit="1" customWidth="1"/>
    <col min="3202" max="3202" width="14.42578125" bestFit="1" customWidth="1"/>
    <col min="3203" max="3203" width="10.28515625" bestFit="1" customWidth="1"/>
    <col min="3204" max="3204" width="13.42578125" bestFit="1" customWidth="1"/>
    <col min="3205" max="3205" width="15.5703125" bestFit="1" customWidth="1"/>
    <col min="3206" max="3206" width="14" bestFit="1" customWidth="1"/>
    <col min="3207" max="3207" width="14.42578125" bestFit="1" customWidth="1"/>
    <col min="3208" max="3208" width="10.28515625" bestFit="1" customWidth="1"/>
    <col min="3209" max="3209" width="13.42578125" bestFit="1" customWidth="1"/>
    <col min="3210" max="3210" width="15.5703125" bestFit="1" customWidth="1"/>
    <col min="3211" max="3211" width="14" bestFit="1" customWidth="1"/>
    <col min="3212" max="3212" width="14.42578125" bestFit="1" customWidth="1"/>
    <col min="3213" max="3213" width="10.28515625" bestFit="1" customWidth="1"/>
    <col min="3214" max="3214" width="13.42578125" bestFit="1" customWidth="1"/>
    <col min="3215" max="3215" width="15.5703125" bestFit="1" customWidth="1"/>
    <col min="3216" max="3216" width="14" bestFit="1" customWidth="1"/>
    <col min="3217" max="3217" width="14.42578125" bestFit="1" customWidth="1"/>
    <col min="3218" max="3218" width="10.28515625" bestFit="1" customWidth="1"/>
    <col min="3219" max="3219" width="13.42578125" bestFit="1" customWidth="1"/>
    <col min="3220" max="3220" width="15.5703125" bestFit="1" customWidth="1"/>
    <col min="3221" max="3221" width="14" bestFit="1" customWidth="1"/>
    <col min="3222" max="3222" width="14.42578125" bestFit="1" customWidth="1"/>
    <col min="3223" max="3223" width="10.28515625" bestFit="1" customWidth="1"/>
    <col min="3224" max="3224" width="13.42578125" bestFit="1" customWidth="1"/>
    <col min="3225" max="3225" width="15.5703125" bestFit="1" customWidth="1"/>
    <col min="3226" max="3226" width="14" bestFit="1" customWidth="1"/>
    <col min="3227" max="3227" width="14.42578125" bestFit="1" customWidth="1"/>
    <col min="3228" max="3228" width="10.28515625" bestFit="1" customWidth="1"/>
    <col min="3229" max="3229" width="13.42578125" bestFit="1" customWidth="1"/>
    <col min="3230" max="3230" width="15.5703125" bestFit="1" customWidth="1"/>
    <col min="3231" max="3231" width="14" bestFit="1" customWidth="1"/>
    <col min="3232" max="3232" width="14.42578125" bestFit="1" customWidth="1"/>
    <col min="3233" max="3233" width="10.28515625" bestFit="1" customWidth="1"/>
    <col min="3234" max="3234" width="13.42578125" bestFit="1" customWidth="1"/>
    <col min="3235" max="3235" width="15.5703125" bestFit="1" customWidth="1"/>
    <col min="3236" max="3236" width="14" bestFit="1" customWidth="1"/>
    <col min="3237" max="3237" width="14.42578125" bestFit="1" customWidth="1"/>
    <col min="3238" max="3238" width="10.28515625" bestFit="1" customWidth="1"/>
    <col min="3239" max="3239" width="13.42578125" bestFit="1" customWidth="1"/>
    <col min="3240" max="3240" width="15.5703125" bestFit="1" customWidth="1"/>
    <col min="3241" max="3241" width="14" bestFit="1" customWidth="1"/>
    <col min="3242" max="3242" width="14.42578125" bestFit="1" customWidth="1"/>
    <col min="3243" max="3243" width="10.28515625" bestFit="1" customWidth="1"/>
    <col min="3244" max="3244" width="13.42578125" bestFit="1" customWidth="1"/>
    <col min="3245" max="3245" width="15.5703125" bestFit="1" customWidth="1"/>
    <col min="3246" max="3246" width="14" bestFit="1" customWidth="1"/>
    <col min="3247" max="3247" width="14.42578125" bestFit="1" customWidth="1"/>
    <col min="3248" max="3248" width="10.28515625" bestFit="1" customWidth="1"/>
    <col min="3249" max="3249" width="13.42578125" bestFit="1" customWidth="1"/>
    <col min="3250" max="3250" width="15.5703125" bestFit="1" customWidth="1"/>
    <col min="3251" max="3251" width="14" bestFit="1" customWidth="1"/>
    <col min="3252" max="3252" width="14.42578125" bestFit="1" customWidth="1"/>
    <col min="3253" max="3253" width="10.28515625" bestFit="1" customWidth="1"/>
    <col min="3254" max="3254" width="13.42578125" bestFit="1" customWidth="1"/>
    <col min="3255" max="3255" width="15.5703125" bestFit="1" customWidth="1"/>
    <col min="3256" max="3256" width="14" bestFit="1" customWidth="1"/>
    <col min="3257" max="3257" width="14.42578125" bestFit="1" customWidth="1"/>
    <col min="3258" max="3258" width="10.28515625" bestFit="1" customWidth="1"/>
    <col min="3259" max="3259" width="13.42578125" bestFit="1" customWidth="1"/>
    <col min="3260" max="3260" width="15.5703125" bestFit="1" customWidth="1"/>
    <col min="3261" max="3261" width="14" bestFit="1" customWidth="1"/>
    <col min="3262" max="3262" width="14.42578125" bestFit="1" customWidth="1"/>
    <col min="3263" max="3263" width="10.28515625" bestFit="1" customWidth="1"/>
    <col min="3264" max="3264" width="13.42578125" bestFit="1" customWidth="1"/>
    <col min="3265" max="3265" width="15.5703125" bestFit="1" customWidth="1"/>
    <col min="3266" max="3266" width="14" bestFit="1" customWidth="1"/>
    <col min="3267" max="3267" width="14.42578125" bestFit="1" customWidth="1"/>
    <col min="3268" max="3268" width="10.28515625" bestFit="1" customWidth="1"/>
    <col min="3269" max="3269" width="13.42578125" bestFit="1" customWidth="1"/>
    <col min="3270" max="3270" width="15.5703125" bestFit="1" customWidth="1"/>
    <col min="3271" max="3271" width="14" bestFit="1" customWidth="1"/>
    <col min="3272" max="3272" width="14.42578125" bestFit="1" customWidth="1"/>
    <col min="3273" max="3273" width="10.28515625" bestFit="1" customWidth="1"/>
    <col min="3274" max="3274" width="13.42578125" bestFit="1" customWidth="1"/>
    <col min="3275" max="3275" width="15.5703125" bestFit="1" customWidth="1"/>
    <col min="3276" max="3276" width="14" bestFit="1" customWidth="1"/>
    <col min="3277" max="3277" width="14.42578125" bestFit="1" customWidth="1"/>
    <col min="3278" max="3278" width="10.28515625" bestFit="1" customWidth="1"/>
    <col min="3279" max="3279" width="13.42578125" bestFit="1" customWidth="1"/>
    <col min="3280" max="3280" width="15.5703125" bestFit="1" customWidth="1"/>
    <col min="3281" max="3281" width="14" bestFit="1" customWidth="1"/>
    <col min="3282" max="3282" width="14.42578125" bestFit="1" customWidth="1"/>
    <col min="3283" max="3283" width="10.28515625" bestFit="1" customWidth="1"/>
    <col min="3284" max="3284" width="13.42578125" bestFit="1" customWidth="1"/>
    <col min="3285" max="3285" width="15.5703125" bestFit="1" customWidth="1"/>
    <col min="3286" max="3286" width="14" bestFit="1" customWidth="1"/>
    <col min="3287" max="3287" width="14.42578125" bestFit="1" customWidth="1"/>
    <col min="3288" max="3288" width="10.28515625" bestFit="1" customWidth="1"/>
    <col min="3289" max="3289" width="13.42578125" bestFit="1" customWidth="1"/>
    <col min="3290" max="3290" width="15.5703125" bestFit="1" customWidth="1"/>
    <col min="3291" max="3291" width="14" bestFit="1" customWidth="1"/>
    <col min="3292" max="3292" width="14.42578125" bestFit="1" customWidth="1"/>
    <col min="3293" max="3293" width="10.28515625" bestFit="1" customWidth="1"/>
    <col min="3294" max="3294" width="13.42578125" bestFit="1" customWidth="1"/>
    <col min="3295" max="3295" width="15.5703125" bestFit="1" customWidth="1"/>
    <col min="3296" max="3296" width="14" bestFit="1" customWidth="1"/>
    <col min="3297" max="3297" width="14.42578125" bestFit="1" customWidth="1"/>
    <col min="3298" max="3298" width="10.28515625" bestFit="1" customWidth="1"/>
    <col min="3299" max="3299" width="13.42578125" bestFit="1" customWidth="1"/>
    <col min="3300" max="3300" width="15.5703125" bestFit="1" customWidth="1"/>
    <col min="3301" max="3301" width="14" bestFit="1" customWidth="1"/>
    <col min="3302" max="3302" width="14.42578125" bestFit="1" customWidth="1"/>
    <col min="3303" max="3303" width="10.28515625" bestFit="1" customWidth="1"/>
    <col min="3304" max="3304" width="13.42578125" bestFit="1" customWidth="1"/>
    <col min="3305" max="3305" width="15.5703125" bestFit="1" customWidth="1"/>
    <col min="3306" max="3306" width="14" bestFit="1" customWidth="1"/>
    <col min="3307" max="3307" width="14.42578125" bestFit="1" customWidth="1"/>
    <col min="3308" max="3308" width="10.28515625" bestFit="1" customWidth="1"/>
    <col min="3309" max="3309" width="13.42578125" bestFit="1" customWidth="1"/>
    <col min="3310" max="3310" width="15.5703125" bestFit="1" customWidth="1"/>
    <col min="3311" max="3311" width="14" bestFit="1" customWidth="1"/>
    <col min="3312" max="3312" width="14.42578125" bestFit="1" customWidth="1"/>
    <col min="3313" max="3313" width="10.28515625" bestFit="1" customWidth="1"/>
    <col min="3314" max="3314" width="13.42578125" bestFit="1" customWidth="1"/>
    <col min="3315" max="3315" width="15.5703125" bestFit="1" customWidth="1"/>
    <col min="3316" max="3316" width="14" bestFit="1" customWidth="1"/>
    <col min="3317" max="3317" width="14.42578125" bestFit="1" customWidth="1"/>
    <col min="3318" max="3318" width="10.28515625" bestFit="1" customWidth="1"/>
    <col min="3319" max="3319" width="13.42578125" bestFit="1" customWidth="1"/>
    <col min="3320" max="3320" width="15.5703125" bestFit="1" customWidth="1"/>
    <col min="3321" max="3321" width="14" bestFit="1" customWidth="1"/>
    <col min="3322" max="3322" width="14.42578125" bestFit="1" customWidth="1"/>
    <col min="3323" max="3323" width="10.28515625" bestFit="1" customWidth="1"/>
    <col min="3324" max="3324" width="13.42578125" bestFit="1" customWidth="1"/>
    <col min="3325" max="3325" width="15.5703125" bestFit="1" customWidth="1"/>
    <col min="3326" max="3326" width="14" bestFit="1" customWidth="1"/>
    <col min="3327" max="3327" width="14.42578125" bestFit="1" customWidth="1"/>
    <col min="3328" max="3328" width="10.28515625" bestFit="1" customWidth="1"/>
    <col min="3329" max="3329" width="13.42578125" bestFit="1" customWidth="1"/>
    <col min="3330" max="3330" width="15.5703125" bestFit="1" customWidth="1"/>
    <col min="3331" max="3331" width="14" bestFit="1" customWidth="1"/>
    <col min="3332" max="3332" width="14.42578125" bestFit="1" customWidth="1"/>
    <col min="3333" max="3333" width="10.28515625" bestFit="1" customWidth="1"/>
    <col min="3334" max="3334" width="13.42578125" bestFit="1" customWidth="1"/>
    <col min="3335" max="3335" width="15.5703125" bestFit="1" customWidth="1"/>
    <col min="3336" max="3336" width="14" bestFit="1" customWidth="1"/>
    <col min="3337" max="3337" width="14.42578125" bestFit="1" customWidth="1"/>
    <col min="3338" max="3338" width="10.28515625" bestFit="1" customWidth="1"/>
    <col min="3339" max="3339" width="13.42578125" bestFit="1" customWidth="1"/>
    <col min="3340" max="3340" width="15.5703125" bestFit="1" customWidth="1"/>
    <col min="3341" max="3341" width="14" bestFit="1" customWidth="1"/>
    <col min="3342" max="3342" width="14.42578125" bestFit="1" customWidth="1"/>
    <col min="3343" max="3343" width="10.28515625" bestFit="1" customWidth="1"/>
    <col min="3344" max="3344" width="13.42578125" bestFit="1" customWidth="1"/>
    <col min="3345" max="3345" width="15.5703125" bestFit="1" customWidth="1"/>
    <col min="3346" max="3346" width="14" bestFit="1" customWidth="1"/>
    <col min="3347" max="3347" width="14.42578125" bestFit="1" customWidth="1"/>
    <col min="3348" max="3348" width="10.28515625" bestFit="1" customWidth="1"/>
    <col min="3349" max="3349" width="13.42578125" bestFit="1" customWidth="1"/>
    <col min="3350" max="3350" width="15.5703125" bestFit="1" customWidth="1"/>
    <col min="3351" max="3351" width="14" bestFit="1" customWidth="1"/>
    <col min="3352" max="3352" width="14.42578125" bestFit="1" customWidth="1"/>
    <col min="3353" max="3353" width="10.28515625" bestFit="1" customWidth="1"/>
    <col min="3354" max="3354" width="13.42578125" bestFit="1" customWidth="1"/>
    <col min="3355" max="3355" width="15.5703125" bestFit="1" customWidth="1"/>
    <col min="3356" max="3356" width="14" bestFit="1" customWidth="1"/>
    <col min="3357" max="3357" width="14.42578125" bestFit="1" customWidth="1"/>
    <col min="3358" max="3358" width="10.28515625" bestFit="1" customWidth="1"/>
    <col min="3359" max="3359" width="13.42578125" bestFit="1" customWidth="1"/>
    <col min="3360" max="3360" width="15.5703125" bestFit="1" customWidth="1"/>
    <col min="3361" max="3361" width="14" bestFit="1" customWidth="1"/>
    <col min="3362" max="3362" width="14.42578125" bestFit="1" customWidth="1"/>
    <col min="3363" max="3363" width="10.28515625" bestFit="1" customWidth="1"/>
    <col min="3364" max="3364" width="13.42578125" bestFit="1" customWidth="1"/>
    <col min="3365" max="3365" width="15.5703125" bestFit="1" customWidth="1"/>
    <col min="3366" max="3366" width="14" bestFit="1" customWidth="1"/>
    <col min="3367" max="3367" width="14.42578125" bestFit="1" customWidth="1"/>
    <col min="3368" max="3368" width="10.28515625" bestFit="1" customWidth="1"/>
    <col min="3369" max="3369" width="13.42578125" bestFit="1" customWidth="1"/>
    <col min="3370" max="3370" width="15.5703125" bestFit="1" customWidth="1"/>
    <col min="3371" max="3371" width="14" bestFit="1" customWidth="1"/>
    <col min="3372" max="3372" width="14.42578125" bestFit="1" customWidth="1"/>
    <col min="3373" max="3373" width="10.28515625" bestFit="1" customWidth="1"/>
    <col min="3374" max="3374" width="13.42578125" bestFit="1" customWidth="1"/>
    <col min="3375" max="3375" width="15.5703125" bestFit="1" customWidth="1"/>
    <col min="3376" max="3376" width="14" bestFit="1" customWidth="1"/>
    <col min="3377" max="3377" width="14.42578125" bestFit="1" customWidth="1"/>
    <col min="3378" max="3378" width="10.28515625" bestFit="1" customWidth="1"/>
    <col min="3379" max="3379" width="13.42578125" bestFit="1" customWidth="1"/>
    <col min="3380" max="3380" width="15.5703125" bestFit="1" customWidth="1"/>
    <col min="3381" max="3381" width="14" bestFit="1" customWidth="1"/>
    <col min="3382" max="3382" width="14.42578125" bestFit="1" customWidth="1"/>
    <col min="3383" max="3383" width="10.28515625" bestFit="1" customWidth="1"/>
    <col min="3384" max="3384" width="13.42578125" bestFit="1" customWidth="1"/>
    <col min="3385" max="3385" width="15.5703125" bestFit="1" customWidth="1"/>
    <col min="3386" max="3386" width="14" bestFit="1" customWidth="1"/>
    <col min="3387" max="3387" width="14.42578125" bestFit="1" customWidth="1"/>
    <col min="3388" max="3388" width="10.28515625" bestFit="1" customWidth="1"/>
    <col min="3389" max="3389" width="13.42578125" bestFit="1" customWidth="1"/>
    <col min="3390" max="3390" width="15.5703125" bestFit="1" customWidth="1"/>
    <col min="3391" max="3391" width="14" bestFit="1" customWidth="1"/>
    <col min="3392" max="3392" width="14.42578125" bestFit="1" customWidth="1"/>
    <col min="3393" max="3393" width="10.28515625" bestFit="1" customWidth="1"/>
    <col min="3394" max="3394" width="13.42578125" bestFit="1" customWidth="1"/>
    <col min="3395" max="3395" width="15.5703125" bestFit="1" customWidth="1"/>
    <col min="3396" max="3396" width="14" bestFit="1" customWidth="1"/>
    <col min="3397" max="3397" width="14.42578125" bestFit="1" customWidth="1"/>
    <col min="3398" max="3398" width="10.28515625" bestFit="1" customWidth="1"/>
    <col min="3399" max="3399" width="13.42578125" bestFit="1" customWidth="1"/>
    <col min="3400" max="3400" width="15.5703125" bestFit="1" customWidth="1"/>
    <col min="3401" max="3401" width="14" bestFit="1" customWidth="1"/>
    <col min="3402" max="3402" width="14.42578125" bestFit="1" customWidth="1"/>
    <col min="3403" max="3403" width="10.28515625" bestFit="1" customWidth="1"/>
    <col min="3404" max="3404" width="13.42578125" bestFit="1" customWidth="1"/>
    <col min="3405" max="3405" width="15.5703125" bestFit="1" customWidth="1"/>
    <col min="3406" max="3406" width="14" bestFit="1" customWidth="1"/>
    <col min="3407" max="3407" width="14.42578125" bestFit="1" customWidth="1"/>
    <col min="3408" max="3408" width="10.28515625" bestFit="1" customWidth="1"/>
    <col min="3409" max="3409" width="13.42578125" bestFit="1" customWidth="1"/>
    <col min="3410" max="3410" width="15.5703125" bestFit="1" customWidth="1"/>
    <col min="3411" max="3411" width="14" bestFit="1" customWidth="1"/>
    <col min="3412" max="3412" width="14.42578125" bestFit="1" customWidth="1"/>
    <col min="3413" max="3413" width="10.28515625" bestFit="1" customWidth="1"/>
    <col min="3414" max="3414" width="13.42578125" bestFit="1" customWidth="1"/>
    <col min="3415" max="3415" width="15.5703125" bestFit="1" customWidth="1"/>
    <col min="3416" max="3416" width="14" bestFit="1" customWidth="1"/>
    <col min="3417" max="3417" width="14.42578125" bestFit="1" customWidth="1"/>
    <col min="3418" max="3418" width="10.28515625" bestFit="1" customWidth="1"/>
    <col min="3419" max="3419" width="13.42578125" bestFit="1" customWidth="1"/>
    <col min="3420" max="3420" width="15.5703125" bestFit="1" customWidth="1"/>
    <col min="3421" max="3421" width="14" bestFit="1" customWidth="1"/>
    <col min="3422" max="3422" width="14.42578125" bestFit="1" customWidth="1"/>
    <col min="3423" max="3423" width="10.28515625" bestFit="1" customWidth="1"/>
    <col min="3424" max="3424" width="13.42578125" bestFit="1" customWidth="1"/>
    <col min="3425" max="3425" width="15.5703125" bestFit="1" customWidth="1"/>
    <col min="3426" max="3426" width="14" bestFit="1" customWidth="1"/>
    <col min="3427" max="3427" width="14.42578125" bestFit="1" customWidth="1"/>
    <col min="3428" max="3428" width="10.28515625" bestFit="1" customWidth="1"/>
    <col min="3429" max="3429" width="13.42578125" bestFit="1" customWidth="1"/>
    <col min="3430" max="3430" width="15.5703125" bestFit="1" customWidth="1"/>
    <col min="3431" max="3431" width="14" bestFit="1" customWidth="1"/>
    <col min="3432" max="3432" width="14.42578125" bestFit="1" customWidth="1"/>
    <col min="3433" max="3433" width="10.28515625" bestFit="1" customWidth="1"/>
    <col min="3434" max="3434" width="13.42578125" bestFit="1" customWidth="1"/>
    <col min="3435" max="3435" width="15.5703125" bestFit="1" customWidth="1"/>
    <col min="3436" max="3436" width="14" bestFit="1" customWidth="1"/>
    <col min="3437" max="3437" width="14.42578125" bestFit="1" customWidth="1"/>
    <col min="3438" max="3438" width="10.28515625" bestFit="1" customWidth="1"/>
    <col min="3439" max="3439" width="13.42578125" bestFit="1" customWidth="1"/>
    <col min="3440" max="3440" width="15.5703125" bestFit="1" customWidth="1"/>
    <col min="3441" max="3441" width="14" bestFit="1" customWidth="1"/>
    <col min="3442" max="3442" width="14.42578125" bestFit="1" customWidth="1"/>
    <col min="3443" max="3443" width="10.28515625" bestFit="1" customWidth="1"/>
    <col min="3444" max="3444" width="13.42578125" bestFit="1" customWidth="1"/>
    <col min="3445" max="3445" width="15.5703125" bestFit="1" customWidth="1"/>
    <col min="3446" max="3446" width="14" bestFit="1" customWidth="1"/>
    <col min="3447" max="3447" width="14.42578125" bestFit="1" customWidth="1"/>
    <col min="3448" max="3448" width="10.28515625" bestFit="1" customWidth="1"/>
    <col min="3449" max="3449" width="13.42578125" bestFit="1" customWidth="1"/>
    <col min="3450" max="3450" width="15.5703125" bestFit="1" customWidth="1"/>
    <col min="3451" max="3451" width="14" bestFit="1" customWidth="1"/>
    <col min="3452" max="3452" width="14.42578125" bestFit="1" customWidth="1"/>
    <col min="3453" max="3453" width="10.28515625" bestFit="1" customWidth="1"/>
    <col min="3454" max="3454" width="13.42578125" bestFit="1" customWidth="1"/>
    <col min="3455" max="3455" width="15.5703125" bestFit="1" customWidth="1"/>
    <col min="3456" max="3456" width="14" bestFit="1" customWidth="1"/>
    <col min="3457" max="3457" width="14.42578125" bestFit="1" customWidth="1"/>
    <col min="3458" max="3458" width="10.28515625" bestFit="1" customWidth="1"/>
    <col min="3459" max="3459" width="13.42578125" bestFit="1" customWidth="1"/>
    <col min="3460" max="3460" width="15.5703125" bestFit="1" customWidth="1"/>
    <col min="3461" max="3461" width="14" bestFit="1" customWidth="1"/>
    <col min="3462" max="3462" width="14.42578125" bestFit="1" customWidth="1"/>
    <col min="3463" max="3463" width="10.28515625" bestFit="1" customWidth="1"/>
    <col min="3464" max="3464" width="13.42578125" bestFit="1" customWidth="1"/>
    <col min="3465" max="3465" width="15.5703125" bestFit="1" customWidth="1"/>
    <col min="3466" max="3466" width="14" bestFit="1" customWidth="1"/>
    <col min="3467" max="3467" width="14.42578125" bestFit="1" customWidth="1"/>
    <col min="3468" max="3468" width="10.28515625" bestFit="1" customWidth="1"/>
    <col min="3469" max="3469" width="13.42578125" bestFit="1" customWidth="1"/>
    <col min="3470" max="3470" width="15.5703125" bestFit="1" customWidth="1"/>
    <col min="3471" max="3471" width="14" bestFit="1" customWidth="1"/>
    <col min="3472" max="3472" width="14.42578125" bestFit="1" customWidth="1"/>
    <col min="3473" max="3473" width="10.28515625" bestFit="1" customWidth="1"/>
    <col min="3474" max="3474" width="13.42578125" bestFit="1" customWidth="1"/>
    <col min="3475" max="3475" width="15.5703125" bestFit="1" customWidth="1"/>
    <col min="3476" max="3476" width="14" bestFit="1" customWidth="1"/>
    <col min="3477" max="3477" width="14.42578125" bestFit="1" customWidth="1"/>
    <col min="3478" max="3478" width="10.28515625" bestFit="1" customWidth="1"/>
    <col min="3479" max="3479" width="13.42578125" bestFit="1" customWidth="1"/>
    <col min="3480" max="3480" width="15.5703125" bestFit="1" customWidth="1"/>
    <col min="3481" max="3481" width="14" bestFit="1" customWidth="1"/>
    <col min="3482" max="3482" width="14.42578125" bestFit="1" customWidth="1"/>
    <col min="3483" max="3483" width="10.28515625" bestFit="1" customWidth="1"/>
    <col min="3484" max="3484" width="13.42578125" bestFit="1" customWidth="1"/>
    <col min="3485" max="3485" width="15.5703125" bestFit="1" customWidth="1"/>
    <col min="3486" max="3486" width="14" bestFit="1" customWidth="1"/>
    <col min="3487" max="3487" width="14.42578125" bestFit="1" customWidth="1"/>
    <col min="3488" max="3488" width="10.28515625" bestFit="1" customWidth="1"/>
    <col min="3489" max="3489" width="13.42578125" bestFit="1" customWidth="1"/>
    <col min="3490" max="3490" width="15.5703125" bestFit="1" customWidth="1"/>
    <col min="3491" max="3491" width="14" bestFit="1" customWidth="1"/>
    <col min="3492" max="3492" width="14.42578125" bestFit="1" customWidth="1"/>
    <col min="3493" max="3493" width="10.28515625" bestFit="1" customWidth="1"/>
    <col min="3494" max="3494" width="13.42578125" bestFit="1" customWidth="1"/>
    <col min="3495" max="3495" width="15.5703125" bestFit="1" customWidth="1"/>
    <col min="3496" max="3496" width="14" bestFit="1" customWidth="1"/>
    <col min="3497" max="3497" width="14.42578125" bestFit="1" customWidth="1"/>
    <col min="3498" max="3498" width="10.28515625" bestFit="1" customWidth="1"/>
    <col min="3499" max="3499" width="13.42578125" bestFit="1" customWidth="1"/>
    <col min="3500" max="3500" width="15.5703125" bestFit="1" customWidth="1"/>
    <col min="3501" max="3501" width="14" bestFit="1" customWidth="1"/>
    <col min="3502" max="3502" width="14.42578125" bestFit="1" customWidth="1"/>
    <col min="3503" max="3503" width="10.28515625" bestFit="1" customWidth="1"/>
    <col min="3504" max="3504" width="13.42578125" bestFit="1" customWidth="1"/>
    <col min="3505" max="3505" width="15.5703125" bestFit="1" customWidth="1"/>
    <col min="3506" max="3506" width="14" bestFit="1" customWidth="1"/>
    <col min="3507" max="3507" width="14.42578125" bestFit="1" customWidth="1"/>
    <col min="3508" max="3508" width="10.28515625" bestFit="1" customWidth="1"/>
    <col min="3509" max="3509" width="13.42578125" bestFit="1" customWidth="1"/>
    <col min="3510" max="3510" width="15.5703125" bestFit="1" customWidth="1"/>
    <col min="3511" max="3511" width="14" bestFit="1" customWidth="1"/>
    <col min="3512" max="3512" width="14.42578125" bestFit="1" customWidth="1"/>
    <col min="3513" max="3513" width="10.28515625" bestFit="1" customWidth="1"/>
    <col min="3514" max="3514" width="13.42578125" bestFit="1" customWidth="1"/>
    <col min="3515" max="3515" width="15.5703125" bestFit="1" customWidth="1"/>
    <col min="3516" max="3516" width="14" bestFit="1" customWidth="1"/>
    <col min="3517" max="3517" width="14.42578125" bestFit="1" customWidth="1"/>
    <col min="3518" max="3518" width="10.28515625" bestFit="1" customWidth="1"/>
    <col min="3519" max="3519" width="13.42578125" bestFit="1" customWidth="1"/>
    <col min="3520" max="3520" width="15.5703125" bestFit="1" customWidth="1"/>
    <col min="3521" max="3521" width="14" bestFit="1" customWidth="1"/>
    <col min="3522" max="3522" width="14.42578125" bestFit="1" customWidth="1"/>
    <col min="3523" max="3523" width="10.28515625" bestFit="1" customWidth="1"/>
    <col min="3524" max="3524" width="13.42578125" bestFit="1" customWidth="1"/>
    <col min="3525" max="3525" width="15.5703125" bestFit="1" customWidth="1"/>
    <col min="3526" max="3526" width="14" bestFit="1" customWidth="1"/>
    <col min="3527" max="3527" width="14.42578125" bestFit="1" customWidth="1"/>
    <col min="3528" max="3528" width="10.28515625" bestFit="1" customWidth="1"/>
    <col min="3529" max="3529" width="13.42578125" bestFit="1" customWidth="1"/>
    <col min="3530" max="3530" width="15.5703125" bestFit="1" customWidth="1"/>
    <col min="3531" max="3531" width="14" bestFit="1" customWidth="1"/>
    <col min="3532" max="3532" width="14.42578125" bestFit="1" customWidth="1"/>
    <col min="3533" max="3533" width="10.28515625" bestFit="1" customWidth="1"/>
    <col min="3534" max="3534" width="13.42578125" bestFit="1" customWidth="1"/>
    <col min="3535" max="3535" width="15.5703125" bestFit="1" customWidth="1"/>
    <col min="3536" max="3536" width="14" bestFit="1" customWidth="1"/>
    <col min="3537" max="3537" width="14.42578125" bestFit="1" customWidth="1"/>
    <col min="3538" max="3538" width="10.28515625" bestFit="1" customWidth="1"/>
    <col min="3539" max="3539" width="13.42578125" bestFit="1" customWidth="1"/>
    <col min="3540" max="3540" width="15.5703125" bestFit="1" customWidth="1"/>
    <col min="3541" max="3541" width="14" bestFit="1" customWidth="1"/>
    <col min="3542" max="3542" width="14.42578125" bestFit="1" customWidth="1"/>
    <col min="3543" max="3543" width="10.28515625" bestFit="1" customWidth="1"/>
    <col min="3544" max="3544" width="13.42578125" bestFit="1" customWidth="1"/>
    <col min="3545" max="3545" width="15.5703125" bestFit="1" customWidth="1"/>
    <col min="3546" max="3546" width="14" bestFit="1" customWidth="1"/>
    <col min="3547" max="3547" width="14.42578125" bestFit="1" customWidth="1"/>
    <col min="3548" max="3548" width="10.28515625" bestFit="1" customWidth="1"/>
    <col min="3549" max="3549" width="13.42578125" bestFit="1" customWidth="1"/>
    <col min="3550" max="3550" width="15.5703125" bestFit="1" customWidth="1"/>
    <col min="3551" max="3551" width="14" bestFit="1" customWidth="1"/>
    <col min="3552" max="3552" width="14.42578125" bestFit="1" customWidth="1"/>
    <col min="3553" max="3553" width="10.28515625" bestFit="1" customWidth="1"/>
    <col min="3554" max="3554" width="13.42578125" bestFit="1" customWidth="1"/>
    <col min="3555" max="3555" width="15.5703125" bestFit="1" customWidth="1"/>
    <col min="3556" max="3556" width="14" bestFit="1" customWidth="1"/>
    <col min="3557" max="3557" width="14.42578125" bestFit="1" customWidth="1"/>
    <col min="3558" max="3558" width="10.28515625" bestFit="1" customWidth="1"/>
    <col min="3559" max="3559" width="13.42578125" bestFit="1" customWidth="1"/>
    <col min="3560" max="3560" width="15.5703125" bestFit="1" customWidth="1"/>
    <col min="3561" max="3561" width="14" bestFit="1" customWidth="1"/>
    <col min="3562" max="3562" width="14.42578125" bestFit="1" customWidth="1"/>
    <col min="3563" max="3563" width="10.28515625" bestFit="1" customWidth="1"/>
    <col min="3564" max="3564" width="13.42578125" bestFit="1" customWidth="1"/>
    <col min="3565" max="3565" width="15.5703125" bestFit="1" customWidth="1"/>
    <col min="3566" max="3566" width="14" bestFit="1" customWidth="1"/>
    <col min="3567" max="3567" width="14.42578125" bestFit="1" customWidth="1"/>
    <col min="3568" max="3568" width="10.28515625" bestFit="1" customWidth="1"/>
    <col min="3569" max="3569" width="13.42578125" bestFit="1" customWidth="1"/>
    <col min="3570" max="3570" width="15.5703125" bestFit="1" customWidth="1"/>
    <col min="3571" max="3571" width="14" bestFit="1" customWidth="1"/>
    <col min="3572" max="3572" width="14.42578125" bestFit="1" customWidth="1"/>
    <col min="3573" max="3573" width="10.28515625" bestFit="1" customWidth="1"/>
    <col min="3574" max="3574" width="13.42578125" bestFit="1" customWidth="1"/>
    <col min="3575" max="3575" width="15.5703125" bestFit="1" customWidth="1"/>
    <col min="3576" max="3576" width="14" bestFit="1" customWidth="1"/>
    <col min="3577" max="3577" width="14.42578125" bestFit="1" customWidth="1"/>
    <col min="3578" max="3578" width="10.28515625" bestFit="1" customWidth="1"/>
    <col min="3579" max="3579" width="13.42578125" bestFit="1" customWidth="1"/>
    <col min="3580" max="3580" width="15.5703125" bestFit="1" customWidth="1"/>
    <col min="3581" max="3581" width="14" bestFit="1" customWidth="1"/>
    <col min="3582" max="3582" width="14.42578125" bestFit="1" customWidth="1"/>
    <col min="3583" max="3583" width="10.28515625" bestFit="1" customWidth="1"/>
    <col min="3584" max="3584" width="13.42578125" bestFit="1" customWidth="1"/>
    <col min="3585" max="3585" width="15.5703125" bestFit="1" customWidth="1"/>
    <col min="3586" max="3586" width="14" bestFit="1" customWidth="1"/>
    <col min="3587" max="3587" width="14.42578125" bestFit="1" customWidth="1"/>
    <col min="3588" max="3588" width="10.28515625" bestFit="1" customWidth="1"/>
    <col min="3589" max="3589" width="13.42578125" bestFit="1" customWidth="1"/>
    <col min="3590" max="3590" width="15.5703125" bestFit="1" customWidth="1"/>
    <col min="3591" max="3591" width="14" bestFit="1" customWidth="1"/>
    <col min="3592" max="3592" width="14.42578125" bestFit="1" customWidth="1"/>
    <col min="3593" max="3593" width="10.28515625" bestFit="1" customWidth="1"/>
    <col min="3594" max="3594" width="13.42578125" bestFit="1" customWidth="1"/>
    <col min="3595" max="3595" width="15.5703125" bestFit="1" customWidth="1"/>
    <col min="3596" max="3596" width="14" bestFit="1" customWidth="1"/>
    <col min="3597" max="3597" width="14.42578125" bestFit="1" customWidth="1"/>
    <col min="3598" max="3598" width="10.28515625" bestFit="1" customWidth="1"/>
    <col min="3599" max="3599" width="13.42578125" bestFit="1" customWidth="1"/>
    <col min="3600" max="3600" width="15.5703125" bestFit="1" customWidth="1"/>
    <col min="3601" max="3601" width="14" bestFit="1" customWidth="1"/>
    <col min="3602" max="3602" width="14.42578125" bestFit="1" customWidth="1"/>
    <col min="3603" max="3603" width="10.28515625" bestFit="1" customWidth="1"/>
    <col min="3604" max="3604" width="13.42578125" bestFit="1" customWidth="1"/>
    <col min="3605" max="3605" width="15.5703125" bestFit="1" customWidth="1"/>
    <col min="3606" max="3606" width="14" bestFit="1" customWidth="1"/>
    <col min="3607" max="3607" width="14.42578125" bestFit="1" customWidth="1"/>
    <col min="3608" max="3608" width="15.28515625" bestFit="1" customWidth="1"/>
    <col min="3609" max="3609" width="18.42578125" bestFit="1" customWidth="1"/>
    <col min="3610" max="3610" width="20.5703125" bestFit="1" customWidth="1"/>
    <col min="3611" max="3611" width="19" bestFit="1" customWidth="1"/>
    <col min="3612" max="3612" width="19.42578125" bestFit="1" customWidth="1"/>
  </cols>
  <sheetData>
    <row r="2" spans="2:10" x14ac:dyDescent="0.25">
      <c r="B2" s="2" t="s">
        <v>832</v>
      </c>
      <c r="C2" t="s">
        <v>835</v>
      </c>
    </row>
    <row r="3" spans="2:10" x14ac:dyDescent="0.25">
      <c r="B3" s="2" t="s">
        <v>3</v>
      </c>
      <c r="C3" t="s">
        <v>836</v>
      </c>
    </row>
    <row r="4" spans="2:10" x14ac:dyDescent="0.25">
      <c r="B4" s="2" t="s">
        <v>2</v>
      </c>
      <c r="C4" t="s">
        <v>836</v>
      </c>
    </row>
    <row r="6" spans="2:10" x14ac:dyDescent="0.25">
      <c r="B6" s="2" t="s">
        <v>1</v>
      </c>
      <c r="C6" t="s">
        <v>848</v>
      </c>
      <c r="D6" t="s">
        <v>839</v>
      </c>
      <c r="E6" t="s">
        <v>840</v>
      </c>
      <c r="F6" t="s">
        <v>841</v>
      </c>
      <c r="G6" t="s">
        <v>842</v>
      </c>
      <c r="H6" t="s">
        <v>843</v>
      </c>
      <c r="I6" t="s">
        <v>844</v>
      </c>
      <c r="J6" t="s">
        <v>837</v>
      </c>
    </row>
    <row r="7" spans="2:10" x14ac:dyDescent="0.25">
      <c r="B7" s="3" t="s">
        <v>542</v>
      </c>
      <c r="C7" s="1">
        <v>460</v>
      </c>
      <c r="D7" s="1">
        <v>90</v>
      </c>
      <c r="E7" s="1">
        <v>132</v>
      </c>
      <c r="F7" s="1">
        <v>105</v>
      </c>
      <c r="G7" s="1">
        <v>132</v>
      </c>
      <c r="H7" s="1">
        <v>105</v>
      </c>
      <c r="I7" s="1">
        <v>30</v>
      </c>
      <c r="J7" s="1">
        <v>4</v>
      </c>
    </row>
    <row r="8" spans="2:10" x14ac:dyDescent="0.25">
      <c r="B8" s="3" t="s">
        <v>424</v>
      </c>
      <c r="C8" s="1">
        <v>359</v>
      </c>
      <c r="D8" s="1">
        <v>65</v>
      </c>
      <c r="E8" s="1">
        <v>150</v>
      </c>
      <c r="F8" s="1">
        <v>60</v>
      </c>
      <c r="G8" s="1">
        <v>115</v>
      </c>
      <c r="H8" s="1">
        <v>60</v>
      </c>
      <c r="I8" s="1">
        <v>115</v>
      </c>
      <c r="J8" s="1">
        <v>3</v>
      </c>
    </row>
    <row r="9" spans="2:10" x14ac:dyDescent="0.25">
      <c r="B9" s="3" t="s">
        <v>185</v>
      </c>
      <c r="C9" s="1">
        <v>142</v>
      </c>
      <c r="D9" s="1">
        <v>80</v>
      </c>
      <c r="E9" s="1">
        <v>135</v>
      </c>
      <c r="F9" s="1">
        <v>85</v>
      </c>
      <c r="G9" s="1">
        <v>70</v>
      </c>
      <c r="H9" s="1">
        <v>95</v>
      </c>
      <c r="I9" s="1">
        <v>150</v>
      </c>
      <c r="J9" s="1">
        <v>1</v>
      </c>
    </row>
    <row r="10" spans="2:10" x14ac:dyDescent="0.25">
      <c r="B10" s="3" t="s">
        <v>364</v>
      </c>
      <c r="C10" s="1">
        <v>306</v>
      </c>
      <c r="D10" s="1">
        <v>70</v>
      </c>
      <c r="E10" s="1">
        <v>140</v>
      </c>
      <c r="F10" s="1">
        <v>230</v>
      </c>
      <c r="G10" s="1">
        <v>60</v>
      </c>
      <c r="H10" s="1">
        <v>80</v>
      </c>
      <c r="I10" s="1">
        <v>50</v>
      </c>
      <c r="J10" s="1">
        <v>3</v>
      </c>
    </row>
    <row r="11" spans="2:10" x14ac:dyDescent="0.25">
      <c r="B11" s="3" t="s">
        <v>98</v>
      </c>
      <c r="C11" s="1">
        <v>65</v>
      </c>
      <c r="D11" s="1">
        <v>55</v>
      </c>
      <c r="E11" s="1">
        <v>50</v>
      </c>
      <c r="F11" s="1">
        <v>65</v>
      </c>
      <c r="G11" s="1">
        <v>175</v>
      </c>
      <c r="H11" s="1">
        <v>95</v>
      </c>
      <c r="I11" s="1">
        <v>150</v>
      </c>
      <c r="J11" s="1">
        <v>1</v>
      </c>
    </row>
    <row r="12" spans="2:10" x14ac:dyDescent="0.25">
      <c r="B12" s="3" t="s">
        <v>397</v>
      </c>
      <c r="C12" s="1">
        <v>334</v>
      </c>
      <c r="D12" s="1">
        <v>75</v>
      </c>
      <c r="E12" s="1">
        <v>110</v>
      </c>
      <c r="F12" s="1">
        <v>110</v>
      </c>
      <c r="G12" s="1">
        <v>110</v>
      </c>
      <c r="H12" s="1">
        <v>105</v>
      </c>
      <c r="I12" s="1">
        <v>80</v>
      </c>
      <c r="J12" s="1">
        <v>3</v>
      </c>
    </row>
    <row r="13" spans="2:10" x14ac:dyDescent="0.25">
      <c r="B13" s="3" t="s">
        <v>227</v>
      </c>
      <c r="C13" s="1">
        <v>181</v>
      </c>
      <c r="D13" s="1">
        <v>90</v>
      </c>
      <c r="E13" s="1">
        <v>95</v>
      </c>
      <c r="F13" s="1">
        <v>105</v>
      </c>
      <c r="G13" s="1">
        <v>165</v>
      </c>
      <c r="H13" s="1">
        <v>110</v>
      </c>
      <c r="I13" s="1">
        <v>45</v>
      </c>
      <c r="J13" s="1">
        <v>2</v>
      </c>
    </row>
    <row r="14" spans="2:10" x14ac:dyDescent="0.25">
      <c r="B14" s="3" t="s">
        <v>623</v>
      </c>
      <c r="C14" s="1">
        <v>531</v>
      </c>
      <c r="D14" s="1">
        <v>103</v>
      </c>
      <c r="E14" s="1">
        <v>60</v>
      </c>
      <c r="F14" s="1">
        <v>126</v>
      </c>
      <c r="G14" s="1">
        <v>80</v>
      </c>
      <c r="H14" s="1">
        <v>126</v>
      </c>
      <c r="I14" s="1">
        <v>50</v>
      </c>
      <c r="J14" s="1">
        <v>5</v>
      </c>
    </row>
    <row r="15" spans="2:10" x14ac:dyDescent="0.25">
      <c r="B15" s="3" t="s">
        <v>419</v>
      </c>
      <c r="C15" s="1">
        <v>354</v>
      </c>
      <c r="D15" s="1">
        <v>64</v>
      </c>
      <c r="E15" s="1">
        <v>165</v>
      </c>
      <c r="F15" s="1">
        <v>75</v>
      </c>
      <c r="G15" s="1">
        <v>93</v>
      </c>
      <c r="H15" s="1">
        <v>83</v>
      </c>
      <c r="I15" s="1">
        <v>75</v>
      </c>
      <c r="J15" s="1">
        <v>3</v>
      </c>
    </row>
    <row r="16" spans="2:10" x14ac:dyDescent="0.25">
      <c r="B16" s="3" t="s">
        <v>40</v>
      </c>
      <c r="C16" s="1">
        <v>15</v>
      </c>
      <c r="D16" s="1">
        <v>65</v>
      </c>
      <c r="E16" s="1">
        <v>150</v>
      </c>
      <c r="F16" s="1">
        <v>40</v>
      </c>
      <c r="G16" s="1">
        <v>15</v>
      </c>
      <c r="H16" s="1">
        <v>80</v>
      </c>
      <c r="I16" s="1">
        <v>145</v>
      </c>
      <c r="J16" s="1">
        <v>1</v>
      </c>
    </row>
    <row r="17" spans="2:10" x14ac:dyDescent="0.25">
      <c r="B17" s="3" t="s">
        <v>32</v>
      </c>
      <c r="C17" s="1">
        <v>9</v>
      </c>
      <c r="D17" s="1">
        <v>79</v>
      </c>
      <c r="E17" s="1">
        <v>103</v>
      </c>
      <c r="F17" s="1">
        <v>120</v>
      </c>
      <c r="G17" s="1">
        <v>135</v>
      </c>
      <c r="H17" s="1">
        <v>115</v>
      </c>
      <c r="I17" s="1">
        <v>78</v>
      </c>
      <c r="J17" s="1">
        <v>1</v>
      </c>
    </row>
    <row r="18" spans="2:10" x14ac:dyDescent="0.25">
      <c r="B18" s="3" t="s">
        <v>311</v>
      </c>
      <c r="C18" s="1">
        <v>257</v>
      </c>
      <c r="D18" s="1">
        <v>80</v>
      </c>
      <c r="E18" s="1">
        <v>160</v>
      </c>
      <c r="F18" s="1">
        <v>80</v>
      </c>
      <c r="G18" s="1">
        <v>130</v>
      </c>
      <c r="H18" s="1">
        <v>80</v>
      </c>
      <c r="I18" s="1">
        <v>100</v>
      </c>
      <c r="J18" s="1">
        <v>3</v>
      </c>
    </row>
    <row r="19" spans="2:10" x14ac:dyDescent="0.25">
      <c r="B19" s="3" t="s">
        <v>385</v>
      </c>
      <c r="C19" s="1">
        <v>323</v>
      </c>
      <c r="D19" s="1">
        <v>70</v>
      </c>
      <c r="E19" s="1">
        <v>120</v>
      </c>
      <c r="F19" s="1">
        <v>100</v>
      </c>
      <c r="G19" s="1">
        <v>145</v>
      </c>
      <c r="H19" s="1">
        <v>105</v>
      </c>
      <c r="I19" s="1">
        <v>20</v>
      </c>
      <c r="J19" s="1">
        <v>3</v>
      </c>
    </row>
    <row r="20" spans="2:10" x14ac:dyDescent="0.25">
      <c r="B20" s="3" t="s">
        <v>25</v>
      </c>
      <c r="C20" s="1">
        <v>6</v>
      </c>
      <c r="D20" s="1">
        <v>78</v>
      </c>
      <c r="E20" s="1">
        <v>130</v>
      </c>
      <c r="F20" s="1">
        <v>111</v>
      </c>
      <c r="G20" s="1">
        <v>130</v>
      </c>
      <c r="H20" s="1">
        <v>85</v>
      </c>
      <c r="I20" s="1">
        <v>100</v>
      </c>
      <c r="J20" s="1">
        <v>1</v>
      </c>
    </row>
    <row r="21" spans="2:10" x14ac:dyDescent="0.25">
      <c r="B21" s="3" t="s">
        <v>27</v>
      </c>
      <c r="C21" s="1">
        <v>6</v>
      </c>
      <c r="D21" s="1">
        <v>78</v>
      </c>
      <c r="E21" s="1">
        <v>104</v>
      </c>
      <c r="F21" s="1">
        <v>78</v>
      </c>
      <c r="G21" s="1">
        <v>159</v>
      </c>
      <c r="H21" s="1">
        <v>115</v>
      </c>
      <c r="I21" s="1">
        <v>100</v>
      </c>
      <c r="J21" s="1">
        <v>1</v>
      </c>
    </row>
    <row r="22" spans="2:10" x14ac:dyDescent="0.25">
      <c r="B22" s="3" t="s">
        <v>827</v>
      </c>
      <c r="C22" s="1">
        <v>719</v>
      </c>
      <c r="D22" s="1">
        <v>50</v>
      </c>
      <c r="E22" s="1">
        <v>160</v>
      </c>
      <c r="F22" s="1">
        <v>110</v>
      </c>
      <c r="G22" s="1">
        <v>160</v>
      </c>
      <c r="H22" s="1">
        <v>110</v>
      </c>
      <c r="I22" s="1">
        <v>110</v>
      </c>
      <c r="J22" s="1">
        <v>6</v>
      </c>
    </row>
    <row r="23" spans="2:10" x14ac:dyDescent="0.25">
      <c r="B23" s="3" t="s">
        <v>559</v>
      </c>
      <c r="C23" s="1">
        <v>475</v>
      </c>
      <c r="D23" s="1">
        <v>68</v>
      </c>
      <c r="E23" s="1">
        <v>165</v>
      </c>
      <c r="F23" s="1">
        <v>95</v>
      </c>
      <c r="G23" s="1">
        <v>65</v>
      </c>
      <c r="H23" s="1">
        <v>115</v>
      </c>
      <c r="I23" s="1">
        <v>110</v>
      </c>
      <c r="J23" s="1">
        <v>4</v>
      </c>
    </row>
    <row r="24" spans="2:10" x14ac:dyDescent="0.25">
      <c r="B24" s="3" t="s">
        <v>526</v>
      </c>
      <c r="C24" s="1">
        <v>445</v>
      </c>
      <c r="D24" s="1">
        <v>108</v>
      </c>
      <c r="E24" s="1">
        <v>170</v>
      </c>
      <c r="F24" s="1">
        <v>115</v>
      </c>
      <c r="G24" s="1">
        <v>120</v>
      </c>
      <c r="H24" s="1">
        <v>95</v>
      </c>
      <c r="I24" s="1">
        <v>92</v>
      </c>
      <c r="J24" s="1">
        <v>4</v>
      </c>
    </row>
    <row r="25" spans="2:10" x14ac:dyDescent="0.25">
      <c r="B25" s="3" t="s">
        <v>338</v>
      </c>
      <c r="C25" s="1">
        <v>282</v>
      </c>
      <c r="D25" s="1">
        <v>68</v>
      </c>
      <c r="E25" s="1">
        <v>85</v>
      </c>
      <c r="F25" s="1">
        <v>65</v>
      </c>
      <c r="G25" s="1">
        <v>165</v>
      </c>
      <c r="H25" s="1">
        <v>135</v>
      </c>
      <c r="I25" s="1">
        <v>100</v>
      </c>
      <c r="J25" s="1">
        <v>3</v>
      </c>
    </row>
    <row r="26" spans="2:10" x14ac:dyDescent="0.25">
      <c r="B26" s="3" t="s">
        <v>132</v>
      </c>
      <c r="C26" s="1">
        <v>94</v>
      </c>
      <c r="D26" s="1">
        <v>60</v>
      </c>
      <c r="E26" s="1">
        <v>65</v>
      </c>
      <c r="F26" s="1">
        <v>80</v>
      </c>
      <c r="G26" s="1">
        <v>170</v>
      </c>
      <c r="H26" s="1">
        <v>95</v>
      </c>
      <c r="I26" s="1">
        <v>130</v>
      </c>
      <c r="J26" s="1">
        <v>1</v>
      </c>
    </row>
    <row r="27" spans="2:10" x14ac:dyDescent="0.25">
      <c r="B27" s="3" t="s">
        <v>428</v>
      </c>
      <c r="C27" s="1">
        <v>362</v>
      </c>
      <c r="D27" s="1">
        <v>80</v>
      </c>
      <c r="E27" s="1">
        <v>120</v>
      </c>
      <c r="F27" s="1">
        <v>80</v>
      </c>
      <c r="G27" s="1">
        <v>120</v>
      </c>
      <c r="H27" s="1">
        <v>80</v>
      </c>
      <c r="I27" s="1">
        <v>100</v>
      </c>
      <c r="J27" s="1">
        <v>3</v>
      </c>
    </row>
    <row r="28" spans="2:10" x14ac:dyDescent="0.25">
      <c r="B28" s="3" t="s">
        <v>171</v>
      </c>
      <c r="C28" s="1">
        <v>130</v>
      </c>
      <c r="D28" s="1">
        <v>95</v>
      </c>
      <c r="E28" s="1">
        <v>155</v>
      </c>
      <c r="F28" s="1">
        <v>109</v>
      </c>
      <c r="G28" s="1">
        <v>70</v>
      </c>
      <c r="H28" s="1">
        <v>130</v>
      </c>
      <c r="I28" s="1">
        <v>81</v>
      </c>
      <c r="J28" s="1">
        <v>1</v>
      </c>
    </row>
    <row r="29" spans="2:10" x14ac:dyDescent="0.25">
      <c r="B29" s="3" t="s">
        <v>264</v>
      </c>
      <c r="C29" s="1">
        <v>214</v>
      </c>
      <c r="D29" s="1">
        <v>80</v>
      </c>
      <c r="E29" s="1">
        <v>185</v>
      </c>
      <c r="F29" s="1">
        <v>115</v>
      </c>
      <c r="G29" s="1">
        <v>40</v>
      </c>
      <c r="H29" s="1">
        <v>105</v>
      </c>
      <c r="I29" s="1">
        <v>75</v>
      </c>
      <c r="J29" s="1">
        <v>2</v>
      </c>
    </row>
    <row r="30" spans="2:10" x14ac:dyDescent="0.25">
      <c r="B30" s="3" t="s">
        <v>280</v>
      </c>
      <c r="C30" s="1">
        <v>229</v>
      </c>
      <c r="D30" s="1">
        <v>75</v>
      </c>
      <c r="E30" s="1">
        <v>90</v>
      </c>
      <c r="F30" s="1">
        <v>90</v>
      </c>
      <c r="G30" s="1">
        <v>140</v>
      </c>
      <c r="H30" s="1">
        <v>90</v>
      </c>
      <c r="I30" s="1">
        <v>115</v>
      </c>
      <c r="J30" s="1">
        <v>2</v>
      </c>
    </row>
    <row r="31" spans="2:10" x14ac:dyDescent="0.25">
      <c r="B31" s="3" t="s">
        <v>155</v>
      </c>
      <c r="C31" s="1">
        <v>115</v>
      </c>
      <c r="D31" s="1">
        <v>105</v>
      </c>
      <c r="E31" s="1">
        <v>125</v>
      </c>
      <c r="F31" s="1">
        <v>100</v>
      </c>
      <c r="G31" s="1">
        <v>60</v>
      </c>
      <c r="H31" s="1">
        <v>100</v>
      </c>
      <c r="I31" s="1">
        <v>100</v>
      </c>
      <c r="J31" s="1">
        <v>1</v>
      </c>
    </row>
    <row r="32" spans="2:10" x14ac:dyDescent="0.25">
      <c r="B32" s="3" t="s">
        <v>450</v>
      </c>
      <c r="C32" s="1">
        <v>380</v>
      </c>
      <c r="D32" s="1">
        <v>80</v>
      </c>
      <c r="E32" s="1">
        <v>100</v>
      </c>
      <c r="F32" s="1">
        <v>120</v>
      </c>
      <c r="G32" s="1">
        <v>140</v>
      </c>
      <c r="H32" s="1">
        <v>150</v>
      </c>
      <c r="I32" s="1">
        <v>110</v>
      </c>
      <c r="J32" s="1">
        <v>3</v>
      </c>
    </row>
    <row r="33" spans="2:10" x14ac:dyDescent="0.25">
      <c r="B33" s="3" t="s">
        <v>451</v>
      </c>
      <c r="C33" s="1">
        <v>381</v>
      </c>
      <c r="D33" s="1">
        <v>80</v>
      </c>
      <c r="E33" s="1">
        <v>130</v>
      </c>
      <c r="F33" s="1">
        <v>100</v>
      </c>
      <c r="G33" s="1">
        <v>160</v>
      </c>
      <c r="H33" s="1">
        <v>120</v>
      </c>
      <c r="I33" s="1">
        <v>110</v>
      </c>
      <c r="J33" s="1">
        <v>3</v>
      </c>
    </row>
    <row r="34" spans="2:10" x14ac:dyDescent="0.25">
      <c r="B34" s="3" t="s">
        <v>508</v>
      </c>
      <c r="C34" s="1">
        <v>428</v>
      </c>
      <c r="D34" s="1">
        <v>65</v>
      </c>
      <c r="E34" s="1">
        <v>136</v>
      </c>
      <c r="F34" s="1">
        <v>94</v>
      </c>
      <c r="G34" s="1">
        <v>54</v>
      </c>
      <c r="H34" s="1">
        <v>96</v>
      </c>
      <c r="I34" s="1">
        <v>135</v>
      </c>
      <c r="J34" s="1">
        <v>4</v>
      </c>
    </row>
    <row r="35" spans="2:10" x14ac:dyDescent="0.25">
      <c r="B35" s="3" t="s">
        <v>529</v>
      </c>
      <c r="C35" s="1">
        <v>448</v>
      </c>
      <c r="D35" s="1">
        <v>70</v>
      </c>
      <c r="E35" s="1">
        <v>145</v>
      </c>
      <c r="F35" s="1">
        <v>88</v>
      </c>
      <c r="G35" s="1">
        <v>140</v>
      </c>
      <c r="H35" s="1">
        <v>70</v>
      </c>
      <c r="I35" s="1">
        <v>112</v>
      </c>
      <c r="J35" s="1">
        <v>4</v>
      </c>
    </row>
    <row r="36" spans="2:10" x14ac:dyDescent="0.25">
      <c r="B36" s="3" t="s">
        <v>370</v>
      </c>
      <c r="C36" s="1">
        <v>310</v>
      </c>
      <c r="D36" s="1">
        <v>70</v>
      </c>
      <c r="E36" s="1">
        <v>75</v>
      </c>
      <c r="F36" s="1">
        <v>80</v>
      </c>
      <c r="G36" s="1">
        <v>135</v>
      </c>
      <c r="H36" s="1">
        <v>80</v>
      </c>
      <c r="I36" s="1">
        <v>135</v>
      </c>
      <c r="J36" s="1">
        <v>3</v>
      </c>
    </row>
    <row r="37" spans="2:10" x14ac:dyDescent="0.25">
      <c r="B37" s="3" t="s">
        <v>360</v>
      </c>
      <c r="C37" s="1">
        <v>303</v>
      </c>
      <c r="D37" s="1">
        <v>50</v>
      </c>
      <c r="E37" s="1">
        <v>105</v>
      </c>
      <c r="F37" s="1">
        <v>125</v>
      </c>
      <c r="G37" s="1">
        <v>55</v>
      </c>
      <c r="H37" s="1">
        <v>95</v>
      </c>
      <c r="I37" s="1">
        <v>50</v>
      </c>
      <c r="J37" s="1">
        <v>3</v>
      </c>
    </row>
    <row r="38" spans="2:10" x14ac:dyDescent="0.25">
      <c r="B38" s="3" t="s">
        <v>368</v>
      </c>
      <c r="C38" s="1">
        <v>308</v>
      </c>
      <c r="D38" s="1">
        <v>60</v>
      </c>
      <c r="E38" s="1">
        <v>100</v>
      </c>
      <c r="F38" s="1">
        <v>85</v>
      </c>
      <c r="G38" s="1">
        <v>80</v>
      </c>
      <c r="H38" s="1">
        <v>85</v>
      </c>
      <c r="I38" s="1">
        <v>100</v>
      </c>
      <c r="J38" s="1">
        <v>3</v>
      </c>
    </row>
    <row r="39" spans="2:10" x14ac:dyDescent="0.25">
      <c r="B39" s="3" t="s">
        <v>200</v>
      </c>
      <c r="C39" s="1">
        <v>154</v>
      </c>
      <c r="D39" s="1">
        <v>80</v>
      </c>
      <c r="E39" s="1">
        <v>82</v>
      </c>
      <c r="F39" s="1">
        <v>100</v>
      </c>
      <c r="G39" s="1">
        <v>83</v>
      </c>
      <c r="H39" s="1">
        <v>100</v>
      </c>
      <c r="I39" s="1">
        <v>80</v>
      </c>
      <c r="J39" s="1">
        <v>2</v>
      </c>
    </row>
    <row r="40" spans="2:10" x14ac:dyDescent="0.25">
      <c r="B40" s="3" t="s">
        <v>444</v>
      </c>
      <c r="C40" s="1">
        <v>376</v>
      </c>
      <c r="D40" s="1">
        <v>80</v>
      </c>
      <c r="E40" s="1">
        <v>145</v>
      </c>
      <c r="F40" s="1">
        <v>150</v>
      </c>
      <c r="G40" s="1">
        <v>105</v>
      </c>
      <c r="H40" s="1">
        <v>110</v>
      </c>
      <c r="I40" s="1">
        <v>110</v>
      </c>
      <c r="J40" s="1">
        <v>3</v>
      </c>
    </row>
    <row r="41" spans="2:10" x14ac:dyDescent="0.25">
      <c r="B41" s="3" t="s">
        <v>194</v>
      </c>
      <c r="C41" s="1">
        <v>150</v>
      </c>
      <c r="D41" s="1">
        <v>106</v>
      </c>
      <c r="E41" s="1">
        <v>190</v>
      </c>
      <c r="F41" s="1">
        <v>100</v>
      </c>
      <c r="G41" s="1">
        <v>154</v>
      </c>
      <c r="H41" s="1">
        <v>100</v>
      </c>
      <c r="I41" s="1">
        <v>130</v>
      </c>
      <c r="J41" s="1">
        <v>1</v>
      </c>
    </row>
    <row r="42" spans="2:10" x14ac:dyDescent="0.25">
      <c r="B42" s="3" t="s">
        <v>195</v>
      </c>
      <c r="C42" s="1">
        <v>150</v>
      </c>
      <c r="D42" s="1">
        <v>106</v>
      </c>
      <c r="E42" s="1">
        <v>150</v>
      </c>
      <c r="F42" s="1">
        <v>70</v>
      </c>
      <c r="G42" s="1">
        <v>194</v>
      </c>
      <c r="H42" s="1">
        <v>120</v>
      </c>
      <c r="I42" s="1">
        <v>140</v>
      </c>
      <c r="J42" s="1">
        <v>1</v>
      </c>
    </row>
    <row r="43" spans="2:10" x14ac:dyDescent="0.25">
      <c r="B43" s="3" t="s">
        <v>44</v>
      </c>
      <c r="C43" s="1">
        <v>18</v>
      </c>
      <c r="D43" s="1">
        <v>83</v>
      </c>
      <c r="E43" s="1">
        <v>80</v>
      </c>
      <c r="F43" s="1">
        <v>80</v>
      </c>
      <c r="G43" s="1">
        <v>135</v>
      </c>
      <c r="H43" s="1">
        <v>80</v>
      </c>
      <c r="I43" s="1">
        <v>121</v>
      </c>
      <c r="J43" s="1">
        <v>1</v>
      </c>
    </row>
    <row r="44" spans="2:10" x14ac:dyDescent="0.25">
      <c r="B44" s="3" t="s">
        <v>167</v>
      </c>
      <c r="C44" s="1">
        <v>127</v>
      </c>
      <c r="D44" s="1">
        <v>65</v>
      </c>
      <c r="E44" s="1">
        <v>155</v>
      </c>
      <c r="F44" s="1">
        <v>120</v>
      </c>
      <c r="G44" s="1">
        <v>65</v>
      </c>
      <c r="H44" s="1">
        <v>90</v>
      </c>
      <c r="I44" s="1">
        <v>105</v>
      </c>
      <c r="J44" s="1">
        <v>1</v>
      </c>
    </row>
    <row r="45" spans="2:10" x14ac:dyDescent="0.25">
      <c r="B45" s="3" t="s">
        <v>457</v>
      </c>
      <c r="C45" s="1">
        <v>384</v>
      </c>
      <c r="D45" s="1">
        <v>105</v>
      </c>
      <c r="E45" s="1">
        <v>180</v>
      </c>
      <c r="F45" s="1">
        <v>100</v>
      </c>
      <c r="G45" s="1">
        <v>180</v>
      </c>
      <c r="H45" s="1">
        <v>100</v>
      </c>
      <c r="I45" s="1">
        <v>115</v>
      </c>
      <c r="J45" s="1">
        <v>3</v>
      </c>
    </row>
    <row r="46" spans="2:10" x14ac:dyDescent="0.25">
      <c r="B46" s="3" t="s">
        <v>359</v>
      </c>
      <c r="C46" s="1">
        <v>302</v>
      </c>
      <c r="D46" s="1">
        <v>50</v>
      </c>
      <c r="E46" s="1">
        <v>85</v>
      </c>
      <c r="F46" s="1">
        <v>125</v>
      </c>
      <c r="G46" s="1">
        <v>85</v>
      </c>
      <c r="H46" s="1">
        <v>115</v>
      </c>
      <c r="I46" s="1">
        <v>20</v>
      </c>
      <c r="J46" s="1">
        <v>3</v>
      </c>
    </row>
    <row r="47" spans="2:10" x14ac:dyDescent="0.25">
      <c r="B47" s="3" t="s">
        <v>441</v>
      </c>
      <c r="C47" s="1">
        <v>373</v>
      </c>
      <c r="D47" s="1">
        <v>95</v>
      </c>
      <c r="E47" s="1">
        <v>145</v>
      </c>
      <c r="F47" s="1">
        <v>130</v>
      </c>
      <c r="G47" s="1">
        <v>120</v>
      </c>
      <c r="H47" s="1">
        <v>90</v>
      </c>
      <c r="I47" s="1">
        <v>120</v>
      </c>
      <c r="J47" s="1">
        <v>3</v>
      </c>
    </row>
    <row r="48" spans="2:10" x14ac:dyDescent="0.25">
      <c r="B48" s="3" t="s">
        <v>306</v>
      </c>
      <c r="C48" s="1">
        <v>254</v>
      </c>
      <c r="D48" s="1">
        <v>70</v>
      </c>
      <c r="E48" s="1">
        <v>110</v>
      </c>
      <c r="F48" s="1">
        <v>75</v>
      </c>
      <c r="G48" s="1">
        <v>145</v>
      </c>
      <c r="H48" s="1">
        <v>85</v>
      </c>
      <c r="I48" s="1">
        <v>145</v>
      </c>
      <c r="J48" s="1">
        <v>3</v>
      </c>
    </row>
    <row r="49" spans="2:10" x14ac:dyDescent="0.25">
      <c r="B49" s="3" t="s">
        <v>260</v>
      </c>
      <c r="C49" s="1">
        <v>212</v>
      </c>
      <c r="D49" s="1">
        <v>70</v>
      </c>
      <c r="E49" s="1">
        <v>150</v>
      </c>
      <c r="F49" s="1">
        <v>140</v>
      </c>
      <c r="G49" s="1">
        <v>65</v>
      </c>
      <c r="H49" s="1">
        <v>100</v>
      </c>
      <c r="I49" s="1">
        <v>75</v>
      </c>
      <c r="J49" s="1">
        <v>2</v>
      </c>
    </row>
    <row r="50" spans="2:10" x14ac:dyDescent="0.25">
      <c r="B50" s="3" t="s">
        <v>380</v>
      </c>
      <c r="C50" s="1">
        <v>319</v>
      </c>
      <c r="D50" s="1">
        <v>70</v>
      </c>
      <c r="E50" s="1">
        <v>140</v>
      </c>
      <c r="F50" s="1">
        <v>70</v>
      </c>
      <c r="G50" s="1">
        <v>110</v>
      </c>
      <c r="H50" s="1">
        <v>65</v>
      </c>
      <c r="I50" s="1">
        <v>105</v>
      </c>
      <c r="J50" s="1">
        <v>3</v>
      </c>
    </row>
    <row r="51" spans="2:10" x14ac:dyDescent="0.25">
      <c r="B51" s="3" t="s">
        <v>115</v>
      </c>
      <c r="C51" s="1">
        <v>80</v>
      </c>
      <c r="D51" s="1">
        <v>95</v>
      </c>
      <c r="E51" s="1">
        <v>75</v>
      </c>
      <c r="F51" s="1">
        <v>180</v>
      </c>
      <c r="G51" s="1">
        <v>130</v>
      </c>
      <c r="H51" s="1">
        <v>80</v>
      </c>
      <c r="I51" s="1">
        <v>30</v>
      </c>
      <c r="J51" s="1">
        <v>1</v>
      </c>
    </row>
    <row r="52" spans="2:10" x14ac:dyDescent="0.25">
      <c r="B52" s="3" t="s">
        <v>255</v>
      </c>
      <c r="C52" s="1">
        <v>208</v>
      </c>
      <c r="D52" s="1">
        <v>75</v>
      </c>
      <c r="E52" s="1">
        <v>125</v>
      </c>
      <c r="F52" s="1">
        <v>230</v>
      </c>
      <c r="G52" s="1">
        <v>55</v>
      </c>
      <c r="H52" s="1">
        <v>95</v>
      </c>
      <c r="I52" s="1">
        <v>30</v>
      </c>
      <c r="J52" s="1">
        <v>2</v>
      </c>
    </row>
    <row r="53" spans="2:10" x14ac:dyDescent="0.25">
      <c r="B53" s="3" t="s">
        <v>315</v>
      </c>
      <c r="C53" s="1">
        <v>260</v>
      </c>
      <c r="D53" s="1">
        <v>100</v>
      </c>
      <c r="E53" s="1">
        <v>150</v>
      </c>
      <c r="F53" s="1">
        <v>110</v>
      </c>
      <c r="G53" s="1">
        <v>95</v>
      </c>
      <c r="H53" s="1">
        <v>110</v>
      </c>
      <c r="I53" s="1">
        <v>70</v>
      </c>
      <c r="J53" s="1">
        <v>3</v>
      </c>
    </row>
    <row r="54" spans="2:10" x14ac:dyDescent="0.25">
      <c r="B54" s="3" t="s">
        <v>299</v>
      </c>
      <c r="C54" s="1">
        <v>248</v>
      </c>
      <c r="D54" s="1">
        <v>100</v>
      </c>
      <c r="E54" s="1">
        <v>164</v>
      </c>
      <c r="F54" s="1">
        <v>150</v>
      </c>
      <c r="G54" s="1">
        <v>95</v>
      </c>
      <c r="H54" s="1">
        <v>120</v>
      </c>
      <c r="I54" s="1">
        <v>71</v>
      </c>
      <c r="J54" s="1">
        <v>2</v>
      </c>
    </row>
    <row r="55" spans="2:10" x14ac:dyDescent="0.25">
      <c r="B55" s="3" t="s">
        <v>18</v>
      </c>
      <c r="C55" s="1">
        <v>3</v>
      </c>
      <c r="D55" s="1">
        <v>80</v>
      </c>
      <c r="E55" s="1">
        <v>100</v>
      </c>
      <c r="F55" s="1">
        <v>123</v>
      </c>
      <c r="G55" s="1">
        <v>122</v>
      </c>
      <c r="H55" s="1">
        <v>120</v>
      </c>
      <c r="I55" s="1">
        <v>80</v>
      </c>
      <c r="J55" s="1">
        <v>1</v>
      </c>
    </row>
    <row r="56" spans="2:10" x14ac:dyDescent="0.25">
      <c r="B56" s="3" t="s">
        <v>552</v>
      </c>
      <c r="C56" s="1">
        <v>469</v>
      </c>
      <c r="D56" s="1">
        <v>86</v>
      </c>
      <c r="E56" s="1">
        <v>76</v>
      </c>
      <c r="F56" s="1">
        <v>86</v>
      </c>
      <c r="G56" s="1">
        <v>116</v>
      </c>
      <c r="H56" s="1">
        <v>56</v>
      </c>
      <c r="I56" s="1">
        <v>95</v>
      </c>
      <c r="J56" s="1">
        <v>4</v>
      </c>
    </row>
    <row r="57" spans="2:10" x14ac:dyDescent="0.25">
      <c r="B57" s="3" t="s">
        <v>833</v>
      </c>
      <c r="C57" s="1">
        <v>13058</v>
      </c>
      <c r="D57" s="1">
        <v>3922</v>
      </c>
      <c r="E57" s="1">
        <v>6217</v>
      </c>
      <c r="F57" s="1">
        <v>5280</v>
      </c>
      <c r="G57" s="1">
        <v>5642</v>
      </c>
      <c r="H57" s="1">
        <v>4926</v>
      </c>
      <c r="I57" s="1">
        <v>4695</v>
      </c>
      <c r="J57" s="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5490-6F0E-4348-A779-2A374770A5DF}">
  <dimension ref="B1:F34"/>
  <sheetViews>
    <sheetView workbookViewId="0">
      <selection activeCell="F18" sqref="F18"/>
    </sheetView>
  </sheetViews>
  <sheetFormatPr defaultRowHeight="15" x14ac:dyDescent="0.25"/>
  <cols>
    <col min="1" max="1" width="15.140625" bestFit="1" customWidth="1"/>
    <col min="2" max="2" width="11" bestFit="1" customWidth="1"/>
    <col min="3" max="4" width="25.28515625" bestFit="1" customWidth="1"/>
    <col min="5" max="5" width="11.28515625" bestFit="1" customWidth="1"/>
    <col min="6" max="6" width="20.85546875" bestFit="1" customWidth="1"/>
    <col min="7" max="7" width="21.42578125" bestFit="1" customWidth="1"/>
    <col min="8" max="8" width="20.42578125" bestFit="1" customWidth="1"/>
    <col min="9" max="9" width="25" bestFit="1" customWidth="1"/>
    <col min="10" max="11" width="11.28515625" bestFit="1" customWidth="1"/>
    <col min="12" max="12" width="12.7109375" bestFit="1" customWidth="1"/>
    <col min="13" max="13" width="15.85546875" bestFit="1" customWidth="1"/>
    <col min="14" max="14" width="18.140625" bestFit="1" customWidth="1"/>
    <col min="15" max="15" width="16.42578125" bestFit="1" customWidth="1"/>
    <col min="16" max="16" width="15.28515625" bestFit="1" customWidth="1"/>
    <col min="17" max="17" width="18.42578125" bestFit="1" customWidth="1"/>
    <col min="18" max="18" width="20.5703125" bestFit="1" customWidth="1"/>
    <col min="19" max="19" width="19" bestFit="1" customWidth="1"/>
  </cols>
  <sheetData>
    <row r="1" spans="2:6" x14ac:dyDescent="0.25">
      <c r="B1" s="6"/>
    </row>
    <row r="2" spans="2:6" x14ac:dyDescent="0.25">
      <c r="B2" s="2" t="s">
        <v>850</v>
      </c>
      <c r="C2" s="3">
        <v>82</v>
      </c>
      <c r="D2" s="7" t="s">
        <v>845</v>
      </c>
      <c r="E2" s="5" t="str">
        <f>_xlfn.XLOOKUP(Individual!C2,Pokemon['#],Pokemon[Name],,FALSE)</f>
        <v>Magneton</v>
      </c>
    </row>
    <row r="3" spans="2:6" x14ac:dyDescent="0.25">
      <c r="D3" s="7" t="s">
        <v>846</v>
      </c>
      <c r="E3" s="5" t="str" cm="1">
        <f t="array" ref="E3:F3">_xlfn.XLOOKUP(Individual!C2,Pokemon['#],Pokemon[[Type 1]:[Type 2]],,FALSE)</f>
        <v>Electric</v>
      </c>
      <c r="F3" s="5" t="str">
        <v>Steel</v>
      </c>
    </row>
    <row r="4" spans="2:6" x14ac:dyDescent="0.25">
      <c r="B4" s="2" t="s">
        <v>851</v>
      </c>
      <c r="D4" s="7" t="s">
        <v>847</v>
      </c>
      <c r="E4" s="5">
        <f>_xlfn.XLOOKUP(Individual!C2,Pokemon['#],Pokemon[Generation],,FALSE)</f>
        <v>1</v>
      </c>
    </row>
    <row r="5" spans="2:6" x14ac:dyDescent="0.25">
      <c r="B5" s="3" t="s">
        <v>839</v>
      </c>
      <c r="C5" s="1">
        <v>50</v>
      </c>
    </row>
    <row r="6" spans="2:6" x14ac:dyDescent="0.25">
      <c r="B6" s="3" t="s">
        <v>840</v>
      </c>
      <c r="C6" s="1">
        <v>60</v>
      </c>
    </row>
    <row r="7" spans="2:6" x14ac:dyDescent="0.25">
      <c r="B7" s="3" t="s">
        <v>841</v>
      </c>
      <c r="C7" s="1">
        <v>95</v>
      </c>
    </row>
    <row r="8" spans="2:6" x14ac:dyDescent="0.25">
      <c r="B8" s="3" t="s">
        <v>842</v>
      </c>
      <c r="C8" s="1">
        <v>120</v>
      </c>
    </row>
    <row r="9" spans="2:6" x14ac:dyDescent="0.25">
      <c r="B9" s="3" t="s">
        <v>844</v>
      </c>
      <c r="C9" s="1">
        <v>70</v>
      </c>
    </row>
    <row r="10" spans="2:6" x14ac:dyDescent="0.25">
      <c r="B10" s="3" t="s">
        <v>843</v>
      </c>
      <c r="C10" s="1">
        <v>70</v>
      </c>
    </row>
    <row r="21" spans="2:5" x14ac:dyDescent="0.25">
      <c r="B21" s="2" t="s">
        <v>850</v>
      </c>
      <c r="C21" s="3">
        <v>6</v>
      </c>
    </row>
    <row r="23" spans="2:5" x14ac:dyDescent="0.25">
      <c r="C23" s="2" t="s">
        <v>1</v>
      </c>
    </row>
    <row r="24" spans="2:5" x14ac:dyDescent="0.25">
      <c r="B24" s="2" t="s">
        <v>849</v>
      </c>
      <c r="C24" t="s">
        <v>25</v>
      </c>
      <c r="D24" t="s">
        <v>27</v>
      </c>
      <c r="E24" t="s">
        <v>833</v>
      </c>
    </row>
    <row r="25" spans="2:5" x14ac:dyDescent="0.25">
      <c r="B25" s="3" t="s">
        <v>5</v>
      </c>
      <c r="C25" s="1">
        <v>78</v>
      </c>
      <c r="D25" s="1">
        <v>78</v>
      </c>
      <c r="E25" s="1">
        <v>156</v>
      </c>
    </row>
    <row r="26" spans="2:5" x14ac:dyDescent="0.25">
      <c r="B26" s="3" t="s">
        <v>9</v>
      </c>
      <c r="C26" s="1">
        <v>85</v>
      </c>
      <c r="D26" s="1">
        <v>115</v>
      </c>
      <c r="E26" s="1">
        <v>200</v>
      </c>
    </row>
    <row r="27" spans="2:5" x14ac:dyDescent="0.25">
      <c r="B27" s="3" t="s">
        <v>10</v>
      </c>
      <c r="C27" s="1">
        <v>100</v>
      </c>
      <c r="D27" s="1">
        <v>100</v>
      </c>
      <c r="E27" s="1">
        <v>200</v>
      </c>
    </row>
    <row r="28" spans="2:5" x14ac:dyDescent="0.25">
      <c r="B28" s="3" t="s">
        <v>7</v>
      </c>
      <c r="C28" s="1">
        <v>111</v>
      </c>
      <c r="D28" s="1">
        <v>78</v>
      </c>
      <c r="E28" s="1">
        <v>189</v>
      </c>
    </row>
    <row r="29" spans="2:5" x14ac:dyDescent="0.25">
      <c r="B29" s="3" t="s">
        <v>6</v>
      </c>
      <c r="C29" s="1">
        <v>130</v>
      </c>
      <c r="D29" s="1">
        <v>104</v>
      </c>
      <c r="E29" s="1">
        <v>234</v>
      </c>
    </row>
    <row r="30" spans="2:5" x14ac:dyDescent="0.25">
      <c r="B30" s="3" t="s">
        <v>8</v>
      </c>
      <c r="C30" s="1">
        <v>130</v>
      </c>
      <c r="D30" s="1">
        <v>159</v>
      </c>
      <c r="E30" s="1">
        <v>289</v>
      </c>
    </row>
    <row r="32" spans="2:5" x14ac:dyDescent="0.25">
      <c r="B32" s="11" t="s">
        <v>846</v>
      </c>
      <c r="C32" t="str" cm="1">
        <f t="array" ref="C32:D32">_xlfn.XLOOKUP(Individual!C24,Pokemon[Name],Pokemon[[Type 1]:[Type 2]],,FALSE)</f>
        <v>Fire</v>
      </c>
      <c r="D32" t="str">
        <v>Dragon</v>
      </c>
    </row>
    <row r="33" spans="2:4" x14ac:dyDescent="0.25">
      <c r="B33" s="11" t="s">
        <v>846</v>
      </c>
      <c r="C33" t="str" cm="1">
        <f t="array" ref="C33:D33">_xlfn.XLOOKUP(Individual!D24,Pokemon[Name],Pokemon[[Type 1]:[Type 2]],,FALSE)</f>
        <v>Fire</v>
      </c>
      <c r="D33" t="str">
        <v>Flying</v>
      </c>
    </row>
    <row r="34" spans="2:4" x14ac:dyDescent="0.25">
      <c r="B34" s="11" t="s">
        <v>847</v>
      </c>
      <c r="C34">
        <f>_xlfn.XLOOKUP(Individual!C24,Pokemon[Name],Pokemon[Generation],,FALSE)</f>
        <v>1</v>
      </c>
    </row>
  </sheetData>
  <sortState xmlns:xlrd2="http://schemas.microsoft.com/office/spreadsheetml/2017/richdata2" ref="B23:E30">
    <sortCondition ref="C25"/>
  </sortState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C7164-62AD-49A5-AF2C-327792EB3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Pokemon</vt:lpstr>
      <vt:lpstr>Filtered Stats (All)</vt:lpstr>
      <vt:lpstr>Filtered Stats (Mega)</vt:lpstr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Costello</dc:creator>
  <cp:lastModifiedBy>Vito Costello</cp:lastModifiedBy>
  <dcterms:created xsi:type="dcterms:W3CDTF">2026-07-22T10:17:46Z</dcterms:created>
  <dcterms:modified xsi:type="dcterms:W3CDTF">2026-07-22T13:35:03Z</dcterms:modified>
</cp:coreProperties>
</file>